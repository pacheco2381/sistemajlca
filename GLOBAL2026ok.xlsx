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sistemajlca\"/>
    </mc:Choice>
  </mc:AlternateContent>
  <xr:revisionPtr revIDLastSave="0" documentId="13_ncr:1_{6DC4DA0C-BAD4-4CA1-933B-42A3D93FC97A}" xr6:coauthVersionLast="47" xr6:coauthVersionMax="47" xr10:uidLastSave="{00000000-0000-0000-0000-000000000000}"/>
  <bookViews>
    <workbookView xWindow="-108" yWindow="-108" windowWidth="23256" windowHeight="12456" tabRatio="683" xr2:uid="{00000000-000D-0000-FFFF-FFFF00000000}"/>
  </bookViews>
  <sheets>
    <sheet name="GLOBAL" sheetId="1" r:id="rId1"/>
    <sheet name="AREA COLECTIVA Y E.H" sheetId="2" r:id="rId2"/>
    <sheet name="JUNTA 8" sheetId="3" r:id="rId3"/>
    <sheet name="JUNTA 7" sheetId="4" r:id="rId4"/>
    <sheet name="JUNTA 6" sheetId="5" r:id="rId5"/>
    <sheet name="JUNTA 5" sheetId="6" r:id="rId6"/>
    <sheet name="JUNTA 4" sheetId="7" r:id="rId7"/>
    <sheet name="JUNTA 3" sheetId="8" r:id="rId8"/>
    <sheet name="JUNTA 2" sheetId="9" r:id="rId9"/>
    <sheet name="JUNTA 1" sheetId="10" r:id="rId10"/>
    <sheet name="PROGRAMACIÓN" sheetId="11" r:id="rId11"/>
  </sheets>
  <externalReferences>
    <externalReference r:id="rId12"/>
  </externalReferences>
  <calcPr calcId="181029"/>
  <extLst>
    <ext uri="GoogleSheetsCustomDataVersion2">
      <go:sheetsCustomData xmlns:go="http://customooxmlschemas.google.com/" r:id="rId17" roundtripDataChecksum="g9lNPVpk7ZSKWv3WurON/jda65MjUfAMqbySI7EyPXs="/>
    </ext>
  </extLst>
</workbook>
</file>

<file path=xl/calcChain.xml><?xml version="1.0" encoding="utf-8"?>
<calcChain xmlns="http://schemas.openxmlformats.org/spreadsheetml/2006/main">
  <c r="V11" i="1" l="1"/>
  <c r="V12" i="1"/>
  <c r="V13" i="1"/>
  <c r="V14" i="1"/>
  <c r="V15" i="1"/>
  <c r="V16" i="1"/>
  <c r="V17" i="1"/>
  <c r="V18" i="1"/>
  <c r="V19" i="1"/>
  <c r="V20" i="1"/>
  <c r="V21" i="1"/>
  <c r="V10" i="1"/>
  <c r="AB10" i="1" l="1"/>
  <c r="Y11" i="10"/>
  <c r="Y12" i="10"/>
  <c r="Y13" i="10"/>
  <c r="Y14" i="10"/>
  <c r="Y15" i="10"/>
  <c r="Y16" i="10"/>
  <c r="Y17" i="10"/>
  <c r="Y18" i="10"/>
  <c r="Y19" i="10"/>
  <c r="Y20" i="10"/>
  <c r="Y21" i="10"/>
  <c r="Y10" i="10"/>
  <c r="Y11" i="8"/>
  <c r="Y12" i="8"/>
  <c r="Y13" i="8"/>
  <c r="Y14" i="8"/>
  <c r="Y15" i="8"/>
  <c r="Y16" i="8"/>
  <c r="Y17" i="8"/>
  <c r="Y18" i="8"/>
  <c r="Y19" i="8"/>
  <c r="Y20" i="8"/>
  <c r="Y21" i="8"/>
  <c r="Y10" i="8"/>
  <c r="Y11" i="7"/>
  <c r="Y12" i="7"/>
  <c r="Y13" i="7"/>
  <c r="Y14" i="7"/>
  <c r="Y15" i="7"/>
  <c r="Y16" i="7"/>
  <c r="Y17" i="7"/>
  <c r="Y18" i="7"/>
  <c r="Y19" i="7"/>
  <c r="Y20" i="7"/>
  <c r="Y21" i="7"/>
  <c r="Y10" i="7"/>
  <c r="Y11" i="6"/>
  <c r="Y12" i="6"/>
  <c r="Y13" i="6"/>
  <c r="Y14" i="6"/>
  <c r="Y15" i="6"/>
  <c r="Y16" i="6"/>
  <c r="Y17" i="6"/>
  <c r="Y18" i="6"/>
  <c r="Y19" i="6"/>
  <c r="Y20" i="6"/>
  <c r="Y21" i="6"/>
  <c r="Y10" i="6"/>
  <c r="Y11" i="4"/>
  <c r="Y12" i="4"/>
  <c r="Y13" i="4"/>
  <c r="Y14" i="4"/>
  <c r="Y15" i="4"/>
  <c r="Y16" i="4"/>
  <c r="Y17" i="4"/>
  <c r="Y18" i="4"/>
  <c r="Y19" i="4"/>
  <c r="Y20" i="4"/>
  <c r="Y21" i="4"/>
  <c r="Y10" i="4"/>
  <c r="Y11" i="5"/>
  <c r="Y12" i="5"/>
  <c r="Y13" i="5"/>
  <c r="Y14" i="5"/>
  <c r="Y15" i="5"/>
  <c r="Y16" i="5"/>
  <c r="Y17" i="5"/>
  <c r="Y18" i="5"/>
  <c r="Y19" i="5"/>
  <c r="Y20" i="5"/>
  <c r="Y21" i="5"/>
  <c r="Y10" i="5"/>
  <c r="V22" i="1"/>
  <c r="Y11" i="3"/>
  <c r="Y12" i="3"/>
  <c r="Y13" i="3"/>
  <c r="Y14" i="3"/>
  <c r="Y15" i="3"/>
  <c r="Y16" i="3"/>
  <c r="Y17" i="3"/>
  <c r="Y18" i="3"/>
  <c r="Y19" i="3"/>
  <c r="Y20" i="3"/>
  <c r="Y21" i="3"/>
  <c r="Y10" i="3"/>
  <c r="E11" i="1"/>
  <c r="J23" i="2"/>
  <c r="K14" i="11"/>
  <c r="J14" i="11"/>
  <c r="I14" i="11"/>
  <c r="H14" i="11"/>
  <c r="G14" i="11"/>
  <c r="F14" i="11"/>
  <c r="D14" i="11"/>
  <c r="C14" i="11"/>
  <c r="B14" i="11"/>
  <c r="E13" i="11"/>
  <c r="E12" i="11"/>
  <c r="E11" i="11"/>
  <c r="E10" i="11"/>
  <c r="E9" i="11"/>
  <c r="E14" i="11" s="1"/>
  <c r="E8" i="11"/>
  <c r="E7" i="11"/>
  <c r="E6" i="11"/>
  <c r="E5" i="11"/>
  <c r="E4" i="11"/>
  <c r="E3" i="11"/>
  <c r="E2" i="11"/>
  <c r="Y19" i="9"/>
  <c r="Y17" i="9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V20" i="2"/>
  <c r="V19" i="2"/>
  <c r="V18" i="2"/>
  <c r="V17" i="2"/>
  <c r="V16" i="2"/>
  <c r="V15" i="2"/>
  <c r="V14" i="2"/>
  <c r="V13" i="2"/>
  <c r="V12" i="2"/>
  <c r="V11" i="2"/>
  <c r="V10" i="2"/>
  <c r="V9" i="2"/>
  <c r="AA21" i="1"/>
  <c r="Z21" i="1"/>
  <c r="Y21" i="1"/>
  <c r="X21" i="1"/>
  <c r="W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A20" i="1"/>
  <c r="Z20" i="1"/>
  <c r="Y20" i="1"/>
  <c r="X20" i="1"/>
  <c r="W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A19" i="1"/>
  <c r="Z19" i="1"/>
  <c r="Y19" i="1"/>
  <c r="X19" i="1"/>
  <c r="W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A18" i="1"/>
  <c r="Z18" i="1"/>
  <c r="Y18" i="1"/>
  <c r="X18" i="1"/>
  <c r="W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A17" i="1"/>
  <c r="Z17" i="1"/>
  <c r="Y17" i="1"/>
  <c r="X17" i="1"/>
  <c r="W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A16" i="1"/>
  <c r="Z16" i="1"/>
  <c r="Y16" i="1"/>
  <c r="X16" i="1"/>
  <c r="W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A15" i="1"/>
  <c r="Z15" i="1"/>
  <c r="Y15" i="1"/>
  <c r="X15" i="1"/>
  <c r="W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A14" i="1"/>
  <c r="Z14" i="1"/>
  <c r="Y14" i="1"/>
  <c r="X14" i="1"/>
  <c r="W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A13" i="1"/>
  <c r="Z13" i="1"/>
  <c r="Y13" i="1"/>
  <c r="X13" i="1"/>
  <c r="W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A12" i="1"/>
  <c r="Z12" i="1"/>
  <c r="Y12" i="1"/>
  <c r="X12" i="1"/>
  <c r="W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A11" i="1"/>
  <c r="Z11" i="1"/>
  <c r="Y11" i="1"/>
  <c r="X11" i="1"/>
  <c r="W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D11" i="1"/>
  <c r="C11" i="1"/>
  <c r="B11" i="1"/>
  <c r="AA10" i="1"/>
  <c r="Z10" i="1"/>
  <c r="Y10" i="1"/>
  <c r="X10" i="1"/>
  <c r="W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I6" i="1"/>
  <c r="T22" i="1" l="1"/>
  <c r="AB13" i="1"/>
  <c r="AB18" i="1"/>
  <c r="AB16" i="1"/>
  <c r="AB15" i="1"/>
  <c r="AB20" i="1"/>
  <c r="AB19" i="1"/>
  <c r="I22" i="1"/>
  <c r="Q22" i="1"/>
  <c r="Z22" i="1"/>
  <c r="N22" i="1"/>
  <c r="Y22" i="1"/>
  <c r="M22" i="1"/>
  <c r="AB17" i="1"/>
  <c r="AB21" i="1"/>
  <c r="W22" i="1"/>
  <c r="R22" i="1"/>
  <c r="E22" i="1"/>
  <c r="AB14" i="1"/>
  <c r="J22" i="1"/>
  <c r="AA22" i="1"/>
  <c r="S22" i="1"/>
  <c r="AB11" i="1"/>
  <c r="AB12" i="1"/>
  <c r="B22" i="1"/>
  <c r="Y10" i="9"/>
  <c r="Y14" i="9"/>
  <c r="Y18" i="9"/>
  <c r="Y13" i="9"/>
  <c r="Y21" i="9"/>
  <c r="Y11" i="9"/>
  <c r="Y15" i="9"/>
  <c r="V23" i="2"/>
  <c r="V21" i="2"/>
  <c r="Y16" i="9"/>
  <c r="Y12" i="9"/>
  <c r="Y20" i="9"/>
  <c r="AB22" i="1" l="1"/>
</calcChain>
</file>

<file path=xl/sharedStrings.xml><?xml version="1.0" encoding="utf-8"?>
<sst xmlns="http://schemas.openxmlformats.org/spreadsheetml/2006/main" count="558" uniqueCount="114">
  <si>
    <t xml:space="preserve">                   </t>
  </si>
  <si>
    <t>JUNTA LOCAL DE CONCILIACIÓN Y ARBITRAJE</t>
  </si>
  <si>
    <t xml:space="preserve"> PROGRAMA PARA LA CONCLUSIÓN DE DE LOS ASUNTOS EN TRAMITE Y EJECUCIÓN DE LAUDOS EN LAS JUNTAS ESPECIALES DE LA LOCAL DE CONCILIACIÓN Y ARBITRAJE</t>
  </si>
  <si>
    <t>RESPONSABLE</t>
  </si>
  <si>
    <t>LIC. PATRICIA VELASCO VELAZQUEZ</t>
  </si>
  <si>
    <t>ÁREA</t>
  </si>
  <si>
    <t>PRESIDENCIA</t>
  </si>
  <si>
    <t>ESTADO</t>
  </si>
  <si>
    <t>ARCHIVO</t>
  </si>
  <si>
    <t>EJERCICIO</t>
  </si>
  <si>
    <t>PERIODO</t>
  </si>
  <si>
    <t>ENERO-DICIEMBRE</t>
  </si>
  <si>
    <t>MES</t>
  </si>
  <si>
    <t>DEMANDAS RADICADAS</t>
  </si>
  <si>
    <t>LAUDOS</t>
  </si>
  <si>
    <t>RESOLUCIONES INTERLOCUTORIAS</t>
  </si>
  <si>
    <t>ACUERDOS</t>
  </si>
  <si>
    <t>CONVENIOS</t>
  </si>
  <si>
    <t>AUDIENCIAS</t>
  </si>
  <si>
    <t>AUDIENCIAS AREA COLECTIVA</t>
  </si>
  <si>
    <t>Remates e incidentales</t>
  </si>
  <si>
    <t>DESISTIMIENTO, CADUCIDAD E INCOMPETENCIA</t>
  </si>
  <si>
    <t>NOTIFICACIONES</t>
  </si>
  <si>
    <t>EXHORTOS</t>
  </si>
  <si>
    <t>AMPAROS</t>
  </si>
  <si>
    <t>OFICIOS</t>
  </si>
  <si>
    <t>DESPACHOS DE EJECUCIÓN</t>
  </si>
  <si>
    <t>TOTAL ASUNTOS POR MES</t>
  </si>
  <si>
    <t>Ordinarias</t>
  </si>
  <si>
    <t>Especiales</t>
  </si>
  <si>
    <t>Para procesales</t>
  </si>
  <si>
    <t>Condenatorios</t>
  </si>
  <si>
    <t>Absolutorios</t>
  </si>
  <si>
    <t>Mixtos</t>
  </si>
  <si>
    <t>COLECTIVOS</t>
  </si>
  <si>
    <t>Junta</t>
  </si>
  <si>
    <t>Presidencia /tercerias</t>
  </si>
  <si>
    <t>Colectivos</t>
  </si>
  <si>
    <t>(cumplimentados)</t>
  </si>
  <si>
    <t>C,D Y E</t>
  </si>
  <si>
    <t>ofrecimiento</t>
  </si>
  <si>
    <t>desahogo de pruebas</t>
  </si>
  <si>
    <t>EJECUCIONES Y DILIGENCIAS EMBARGOS</t>
  </si>
  <si>
    <t>ACTUARIOS</t>
  </si>
  <si>
    <t>Directo</t>
  </si>
  <si>
    <t>Indirecto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</si>
  <si>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</si>
  <si>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</si>
  <si>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</si>
  <si>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</si>
  <si>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</si>
  <si>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</si>
  <si>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</si>
  <si>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</si>
  <si>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</si>
  <si>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</si>
  <si>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</si>
  <si>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</si>
  <si>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</si>
  <si>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CONCILIACIONES</t>
  </si>
  <si>
    <t>EMBARGOS</t>
  </si>
  <si>
    <t>REMATES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</si>
  <si>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</si>
  <si>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</si>
  <si>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</si>
  <si>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</si>
  <si>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</si>
  <si>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</si>
  <si>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</si>
  <si>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</si>
  <si>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</si>
  <si>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</si>
  <si>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</si>
  <si>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 xml:space="preserve">diciembre </t>
  </si>
  <si>
    <t xml:space="preserve">Total </t>
  </si>
  <si>
    <t xml:space="preserve"> </t>
  </si>
  <si>
    <t>LIC. PATRICIA VELASCO VELÁZQUEZ</t>
  </si>
  <si>
    <t>AREA</t>
  </si>
  <si>
    <t>AREA COLECTIVA</t>
  </si>
  <si>
    <t>DEMANDAS</t>
  </si>
  <si>
    <t>CONVENIOS/ CONVENIOS RATIFICADOS</t>
  </si>
  <si>
    <t>REGISTRO SINDICAL</t>
  </si>
  <si>
    <t>DEPÓSITO DE CONTRATOS COLECTIVOS</t>
  </si>
  <si>
    <t xml:space="preserve">DÉPOSITO DE REGLAMENTOS INTERIORES DE TRABAJO </t>
  </si>
  <si>
    <t>PROCEDIMIENTOS</t>
  </si>
  <si>
    <t>EMPLAZAMIENTOS A HUELGA</t>
  </si>
  <si>
    <t>DESISTIMIENTO</t>
  </si>
  <si>
    <t>Total de procedimientos</t>
  </si>
  <si>
    <t>LIC. LUZ CRISTINA RODRIGUEZ MARTINEZ</t>
  </si>
  <si>
    <t>JUNTA ESPECIAL</t>
  </si>
  <si>
    <t>Presidencia</t>
  </si>
  <si>
    <t>EJECUCIONES Y DILIGENCIAS</t>
  </si>
  <si>
    <t>LIC. NOEL</t>
  </si>
  <si>
    <t>LIC. RICARDO CARDENAS SANDOVAL</t>
  </si>
  <si>
    <t>6 SEIS</t>
  </si>
  <si>
    <t>LIC. CATALINA HERNÁNDEZ MORENO</t>
  </si>
  <si>
    <t xml:space="preserve">                                                                                                                                                                                   </t>
  </si>
  <si>
    <t>LIC. MONSERRATH MARIA DE LOS ANGELES BAEZ AGUADO</t>
  </si>
  <si>
    <t>4 CUATRO</t>
  </si>
  <si>
    <t>LIC. ROSA EUGENIA RAMÍREZ ENRÍQUEZ</t>
  </si>
  <si>
    <t>3 TRES</t>
  </si>
  <si>
    <t>LIC. ARTURO SÁNCHEZ RÍOS</t>
  </si>
  <si>
    <t>2 DOS</t>
  </si>
  <si>
    <t>LIC. GLORIA ANGELICA BEDOLLA</t>
  </si>
  <si>
    <t>1 UNO</t>
  </si>
  <si>
    <t>DESESTIMIENTO, CADUCIDAD E INCOMPETENCIA</t>
  </si>
  <si>
    <t xml:space="preserve">Diciembre </t>
  </si>
  <si>
    <t xml:space="preserve">AUDIENCIAS PROCEDIMIENTOS ORDINARIOS </t>
  </si>
  <si>
    <t>LAUDOS Y RESOLUCIONES</t>
  </si>
  <si>
    <t>EMBARGO</t>
  </si>
  <si>
    <t>REMATE</t>
  </si>
  <si>
    <t xml:space="preserve">NOTIFICACIONES </t>
  </si>
  <si>
    <t>AUDIENCIAS PROCEDIMIENTOS ESPECIALES Y PP</t>
  </si>
  <si>
    <t>TRANSFERENCIA DE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</si>
</sst>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"/>
  </numFmts>
  <fonts count="21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GiBSON"/>
    </font>
    <font>
      <b/>
      <sz val="24"/>
      <color theme="1"/>
      <name val="GiBSON"/>
    </font>
    <font>
      <sz val="11"/>
      <color theme="1"/>
      <name val="Calibri"/>
    </font>
    <font>
      <b/>
      <sz val="11"/>
      <color theme="1"/>
      <name val="GiBSON"/>
    </font>
    <font>
      <b/>
      <sz val="11"/>
      <color rgb="FFFFFFFF"/>
      <name val="Arial"/>
    </font>
    <font>
      <sz val="11"/>
      <name val="Calibri"/>
    </font>
    <font>
      <b/>
      <sz val="11"/>
      <color theme="0"/>
      <name val="GiBSON"/>
    </font>
    <font>
      <sz val="8"/>
      <color theme="1"/>
      <name val="GiBSON"/>
    </font>
    <font>
      <b/>
      <sz val="10"/>
      <color theme="0"/>
      <name val="GiBSON"/>
    </font>
    <font>
      <b/>
      <sz val="10"/>
      <color rgb="FFFFFFFF"/>
      <name val="Arial"/>
    </font>
    <font>
      <sz val="10"/>
      <color theme="0"/>
      <name val="GiBSON"/>
    </font>
    <font>
      <b/>
      <sz val="10"/>
      <color theme="1"/>
      <name val="GiBSON"/>
    </font>
    <font>
      <b/>
      <sz val="12"/>
      <color theme="1"/>
      <name val="GiBSON"/>
    </font>
    <font>
      <b/>
      <sz val="12"/>
      <color theme="0"/>
      <name val="GiBSON"/>
    </font>
    <font>
      <sz val="10"/>
      <color theme="1"/>
      <name val="GiBSON"/>
    </font>
    <font>
      <b/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9"/>
      <color theme="0"/>
      <name val="GiBSON"/>
    </font>
  </fonts>
  <fills count="12">
    <fill>
      <patternFill patternType="none"/>
    </fill>
    <fill>
      <patternFill patternType="gray125"/>
    </fill>
    <fill>
      <patternFill patternType="solid">
        <fgColor rgb="FF6D807F"/>
        <bgColor rgb="FF6D807F"/>
      </patternFill>
    </fill>
    <fill>
      <patternFill patternType="solid">
        <fgColor rgb="FF4A001F"/>
        <bgColor rgb="FF4A001F"/>
      </patternFill>
    </fill>
    <fill>
      <patternFill patternType="solid">
        <fgColor rgb="FF6D8081"/>
        <bgColor rgb="FF6D8081"/>
      </patternFill>
    </fill>
    <fill>
      <patternFill patternType="solid">
        <fgColor theme="0"/>
        <bgColor theme="0"/>
      </patternFill>
    </fill>
    <fill>
      <patternFill patternType="solid">
        <fgColor rgb="FF6A0F49"/>
        <bgColor rgb="FF6A0F49"/>
      </patternFill>
    </fill>
    <fill>
      <patternFill patternType="solid">
        <fgColor rgb="FFAEABAB"/>
        <bgColor rgb="FFAEABAB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theme="7"/>
        <bgColor theme="7"/>
      </patternFill>
    </fill>
  </fills>
  <borders count="5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7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0" fillId="3" borderId="9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10" fillId="4" borderId="32" xfId="0" applyFont="1" applyFill="1" applyBorder="1" applyAlignment="1">
      <alignment horizontal="center" vertical="center" wrapText="1"/>
    </xf>
    <xf numFmtId="1" fontId="12" fillId="4" borderId="32" xfId="0" applyNumberFormat="1" applyFont="1" applyFill="1" applyBorder="1" applyAlignment="1">
      <alignment horizontal="center" vertical="center" wrapText="1"/>
    </xf>
    <xf numFmtId="1" fontId="12" fillId="4" borderId="30" xfId="0" applyNumberFormat="1" applyFont="1" applyFill="1" applyBorder="1" applyAlignment="1">
      <alignment horizontal="center" vertical="center" wrapText="1"/>
    </xf>
    <xf numFmtId="1" fontId="4" fillId="0" borderId="0" xfId="0" applyNumberFormat="1" applyFont="1"/>
    <xf numFmtId="0" fontId="10" fillId="4" borderId="34" xfId="0" applyFont="1" applyFill="1" applyBorder="1" applyAlignment="1">
      <alignment horizontal="center" vertical="center" wrapText="1"/>
    </xf>
    <xf numFmtId="1" fontId="12" fillId="4" borderId="40" xfId="0" applyNumberFormat="1" applyFont="1" applyFill="1" applyBorder="1" applyAlignment="1">
      <alignment horizontal="center" vertical="center" wrapText="1"/>
    </xf>
    <xf numFmtId="0" fontId="15" fillId="6" borderId="34" xfId="0" applyFont="1" applyFill="1" applyBorder="1" applyAlignment="1">
      <alignment horizontal="center" vertical="center" wrapText="1"/>
    </xf>
    <xf numFmtId="1" fontId="15" fillId="6" borderId="34" xfId="0" applyNumberFormat="1" applyFont="1" applyFill="1" applyBorder="1" applyAlignment="1">
      <alignment horizontal="center" vertical="center" wrapText="1"/>
    </xf>
    <xf numFmtId="1" fontId="15" fillId="6" borderId="38" xfId="0" applyNumberFormat="1" applyFont="1" applyFill="1" applyBorder="1" applyAlignment="1">
      <alignment horizontal="center" vertical="center" wrapText="1"/>
    </xf>
    <xf numFmtId="1" fontId="15" fillId="6" borderId="38" xfId="0" applyNumberFormat="1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0" fillId="3" borderId="41" xfId="0" applyFont="1" applyFill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 vertical="center" wrapText="1"/>
    </xf>
    <xf numFmtId="164" fontId="10" fillId="3" borderId="34" xfId="0" applyNumberFormat="1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8" fillId="9" borderId="34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0" fontId="18" fillId="0" borderId="34" xfId="0" applyFont="1" applyBorder="1" applyAlignment="1">
      <alignment horizontal="center" vertical="center" wrapText="1"/>
    </xf>
    <xf numFmtId="1" fontId="18" fillId="9" borderId="34" xfId="0" applyNumberFormat="1" applyFont="1" applyFill="1" applyBorder="1" applyAlignment="1">
      <alignment horizontal="center" vertical="center" wrapText="1"/>
    </xf>
    <xf numFmtId="0" fontId="18" fillId="9" borderId="32" xfId="0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/>
    </xf>
    <xf numFmtId="0" fontId="18" fillId="9" borderId="3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/>
    </xf>
    <xf numFmtId="0" fontId="4" fillId="9" borderId="3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 wrapText="1"/>
    </xf>
    <xf numFmtId="1" fontId="18" fillId="9" borderId="34" xfId="0" applyNumberFormat="1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6" fillId="9" borderId="34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" fontId="16" fillId="9" borderId="34" xfId="0" applyNumberFormat="1" applyFont="1" applyFill="1" applyBorder="1" applyAlignment="1">
      <alignment horizontal="center" vertical="center" wrapText="1"/>
    </xf>
    <xf numFmtId="0" fontId="16" fillId="9" borderId="32" xfId="0" applyFont="1" applyFill="1" applyBorder="1" applyAlignment="1">
      <alignment horizontal="center" vertical="center" wrapText="1"/>
    </xf>
    <xf numFmtId="1" fontId="16" fillId="9" borderId="34" xfId="0" applyNumberFormat="1" applyFont="1" applyFill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9" borderId="34" xfId="0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/>
    </xf>
    <xf numFmtId="0" fontId="20" fillId="2" borderId="34" xfId="0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1" fontId="14" fillId="0" borderId="34" xfId="0" applyNumberFormat="1" applyFont="1" applyBorder="1" applyAlignment="1">
      <alignment horizontal="center" vertical="center" wrapText="1"/>
    </xf>
    <xf numFmtId="1" fontId="13" fillId="0" borderId="3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5" borderId="32" xfId="0" applyFont="1" applyFill="1" applyBorder="1" applyAlignment="1">
      <alignment horizontal="center" vertical="center" wrapText="1"/>
    </xf>
    <xf numFmtId="1" fontId="18" fillId="5" borderId="32" xfId="0" applyNumberFormat="1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 wrapText="1"/>
    </xf>
    <xf numFmtId="1" fontId="1" fillId="5" borderId="34" xfId="0" applyNumberFormat="1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40" xfId="0" applyNumberFormat="1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/>
    </xf>
    <xf numFmtId="1" fontId="16" fillId="5" borderId="32" xfId="0" applyNumberFormat="1" applyFont="1" applyFill="1" applyBorder="1" applyAlignment="1">
      <alignment horizontal="center" vertical="center" wrapText="1"/>
    </xf>
    <xf numFmtId="1" fontId="16" fillId="5" borderId="34" xfId="0" applyNumberFormat="1" applyFont="1" applyFill="1" applyBorder="1" applyAlignment="1">
      <alignment horizontal="center" vertical="center" wrapText="1"/>
    </xf>
    <xf numFmtId="1" fontId="2" fillId="5" borderId="34" xfId="0" applyNumberFormat="1" applyFont="1" applyFill="1" applyBorder="1" applyAlignment="1">
      <alignment horizontal="center" vertical="center"/>
    </xf>
    <xf numFmtId="1" fontId="16" fillId="5" borderId="34" xfId="0" applyNumberFormat="1" applyFont="1" applyFill="1" applyBorder="1" applyAlignment="1">
      <alignment horizontal="center" vertical="center"/>
    </xf>
    <xf numFmtId="1" fontId="16" fillId="5" borderId="38" xfId="0" applyNumberFormat="1" applyFont="1" applyFill="1" applyBorder="1" applyAlignment="1">
      <alignment horizontal="center" vertical="center" wrapText="1"/>
    </xf>
    <xf numFmtId="1" fontId="18" fillId="5" borderId="38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6" fillId="5" borderId="30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1" fontId="18" fillId="5" borderId="30" xfId="0" applyNumberFormat="1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0" borderId="0" xfId="0" applyFont="1"/>
    <xf numFmtId="0" fontId="16" fillId="5" borderId="32" xfId="0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1" fontId="16" fillId="5" borderId="30" xfId="0" applyNumberFormat="1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9" borderId="34" xfId="0" applyFont="1" applyFill="1" applyBorder="1" applyAlignment="1">
      <alignment horizontal="center" vertical="center" wrapText="1"/>
    </xf>
    <xf numFmtId="0" fontId="17" fillId="11" borderId="34" xfId="0" applyFont="1" applyFill="1" applyBorder="1" applyAlignment="1">
      <alignment horizontal="center" vertical="center" wrapText="1"/>
    </xf>
    <xf numFmtId="0" fontId="17" fillId="11" borderId="34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11" borderId="34" xfId="0" applyFont="1" applyFill="1" applyBorder="1"/>
    <xf numFmtId="0" fontId="5" fillId="7" borderId="3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1" fontId="17" fillId="10" borderId="34" xfId="0" applyNumberFormat="1" applyFont="1" applyFill="1" applyBorder="1" applyAlignment="1">
      <alignment horizontal="center" vertical="center"/>
    </xf>
    <xf numFmtId="1" fontId="17" fillId="9" borderId="34" xfId="0" applyNumberFormat="1" applyFont="1" applyFill="1" applyBorder="1" applyAlignment="1">
      <alignment horizontal="center" vertical="center"/>
    </xf>
    <xf numFmtId="1" fontId="17" fillId="11" borderId="3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" fontId="5" fillId="5" borderId="33" xfId="0" applyNumberFormat="1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/>
    </xf>
    <xf numFmtId="0" fontId="18" fillId="5" borderId="38" xfId="0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/>
    </xf>
    <xf numFmtId="1" fontId="16" fillId="5" borderId="38" xfId="0" applyNumberFormat="1" applyFont="1" applyFill="1" applyBorder="1" applyAlignment="1">
      <alignment horizontal="center" vertical="center"/>
    </xf>
    <xf numFmtId="1" fontId="5" fillId="5" borderId="49" xfId="0" applyNumberFormat="1" applyFont="1" applyFill="1" applyBorder="1" applyAlignment="1">
      <alignment horizontal="center" vertical="center"/>
    </xf>
    <xf numFmtId="1" fontId="15" fillId="6" borderId="38" xfId="0" applyNumberFormat="1" applyFont="1" applyFill="1" applyBorder="1" applyAlignment="1">
      <alignment horizontal="center" vertical="center" wrapText="1"/>
    </xf>
    <xf numFmtId="1" fontId="15" fillId="6" borderId="39" xfId="0" applyNumberFormat="1" applyFont="1" applyFill="1" applyBorder="1" applyAlignment="1">
      <alignment horizontal="center" vertical="center" wrapText="1"/>
    </xf>
    <xf numFmtId="1" fontId="15" fillId="6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2" xfId="0" applyFont="1" applyBorder="1"/>
    <xf numFmtId="1" fontId="15" fillId="6" borderId="35" xfId="0" applyNumberFormat="1" applyFont="1" applyFill="1" applyBorder="1" applyAlignment="1">
      <alignment horizontal="center" vertical="center" wrapText="1"/>
    </xf>
    <xf numFmtId="0" fontId="7" fillId="0" borderId="36" xfId="0" applyFont="1" applyBorder="1"/>
    <xf numFmtId="0" fontId="7" fillId="0" borderId="37" xfId="0" applyFont="1" applyBorder="1"/>
    <xf numFmtId="0" fontId="8" fillId="2" borderId="4" xfId="0" applyFont="1" applyFill="1" applyBorder="1" applyAlignment="1">
      <alignment horizontal="center" vertical="center"/>
    </xf>
    <xf numFmtId="0" fontId="7" fillId="0" borderId="5" xfId="0" applyFont="1" applyBorder="1"/>
    <xf numFmtId="17" fontId="2" fillId="0" borderId="6" xfId="0" applyNumberFormat="1" applyFont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10" fillId="3" borderId="9" xfId="0" applyFont="1" applyFill="1" applyBorder="1" applyAlignment="1">
      <alignment horizontal="center" vertical="center" wrapText="1"/>
    </xf>
    <xf numFmtId="0" fontId="7" fillId="0" borderId="23" xfId="0" applyFont="1" applyBorder="1"/>
    <xf numFmtId="0" fontId="10" fillId="3" borderId="17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10" fillId="3" borderId="20" xfId="0" applyFont="1" applyFill="1" applyBorder="1" applyAlignment="1">
      <alignment horizontal="center" vertical="center" wrapText="1"/>
    </xf>
    <xf numFmtId="0" fontId="7" fillId="0" borderId="29" xfId="0" applyFont="1" applyBorder="1"/>
    <xf numFmtId="0" fontId="11" fillId="3" borderId="19" xfId="0" applyFont="1" applyFill="1" applyBorder="1" applyAlignment="1">
      <alignment horizontal="center" vertical="center" wrapText="1"/>
    </xf>
    <xf numFmtId="0" fontId="7" fillId="0" borderId="28" xfId="0" applyFont="1" applyBorder="1"/>
    <xf numFmtId="0" fontId="10" fillId="3" borderId="10" xfId="0" applyFont="1" applyFill="1" applyBorder="1" applyAlignment="1">
      <alignment horizontal="center" vertical="center" wrapText="1"/>
    </xf>
    <xf numFmtId="164" fontId="10" fillId="3" borderId="13" xfId="0" applyNumberFormat="1" applyFont="1" applyFill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7" fillId="0" borderId="31" xfId="0" applyFont="1" applyBorder="1"/>
    <xf numFmtId="0" fontId="10" fillId="3" borderId="21" xfId="0" applyFont="1" applyFill="1" applyBorder="1" applyAlignment="1">
      <alignment horizontal="center" vertical="center" wrapText="1"/>
    </xf>
    <xf numFmtId="0" fontId="7" fillId="0" borderId="30" xfId="0" applyFont="1" applyBorder="1"/>
    <xf numFmtId="1" fontId="1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10" fillId="3" borderId="17" xfId="0" applyNumberFormat="1" applyFont="1" applyFill="1" applyBorder="1" applyAlignment="1">
      <alignment horizontal="center" vertical="center" wrapText="1"/>
    </xf>
    <xf numFmtId="0" fontId="7" fillId="0" borderId="50" xfId="0" applyFont="1" applyBorder="1"/>
    <xf numFmtId="0" fontId="1" fillId="0" borderId="1" xfId="0" applyFont="1" applyBorder="1" applyAlignment="1">
      <alignment horizontal="center" vertical="center" wrapText="1"/>
    </xf>
    <xf numFmtId="17" fontId="9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7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180975</xdr:colOff>
      <xdr:row>0</xdr:row>
      <xdr:rowOff>66675</xdr:rowOff>
    </xdr:from>
    <xdr:ext cx="3143250" cy="1390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ESIDENCIA/Downloads/GLOBAL%202024%20DIC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GLOBAL"/>
      <sheetName val="AREA COLECTIVA Y E.H"/>
      <sheetName val="JUNTA 8"/>
      <sheetName val="JUNTA 7"/>
      <sheetName val="JUNTA 6"/>
      <sheetName val="JUNTA 5"/>
      <sheetName val="JUNTA 4"/>
      <sheetName val="JUNTA 3"/>
      <sheetName val="JUNTA 2"/>
      <sheetName val="JUNTA 1"/>
      <sheetName val="programac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862"/>
  <sheetViews>
    <sheetView tabSelected="1" topLeftCell="A5" workbookViewId="0">
      <selection activeCell="AD12" sqref="AD12"/>
    </sheetView>
  </sheetViews>
  <sheetFormatPr baseColWidth="10" defaultColWidth="14.44140625" defaultRowHeight="15" customHeight="1"/>
  <cols>
    <col min="2" max="2" width="15.33203125" customWidth="1"/>
    <col min="3" max="4" width="11.44140625" customWidth="1"/>
    <col min="5" max="5" width="16.44140625" customWidth="1"/>
    <col min="6" max="6" width="14" customWidth="1"/>
    <col min="7" max="7" width="11.44140625" customWidth="1"/>
    <col min="8" max="8" width="16.33203125" customWidth="1"/>
    <col min="9" max="9" width="19.44140625" customWidth="1"/>
    <col min="10" max="10" width="13.5546875" customWidth="1"/>
    <col min="11" max="11" width="14.109375" customWidth="1"/>
    <col min="12" max="12" width="11.44140625" customWidth="1"/>
    <col min="13" max="13" width="15.109375" customWidth="1"/>
    <col min="14" max="14" width="11.44140625" customWidth="1"/>
    <col min="15" max="15" width="14" customWidth="1"/>
    <col min="16" max="16" width="15.109375" customWidth="1"/>
    <col min="17" max="17" width="14.6640625" customWidth="1"/>
    <col min="18" max="18" width="15" customWidth="1"/>
    <col min="19" max="19" width="17.33203125" customWidth="1"/>
    <col min="20" max="20" width="17.109375" customWidth="1"/>
    <col min="21" max="21" width="15.88671875" customWidth="1"/>
    <col min="22" max="22" width="15.6640625" customWidth="1"/>
    <col min="23" max="26" width="11.44140625" customWidth="1"/>
    <col min="27" max="27" width="14.44140625" customWidth="1"/>
    <col min="28" max="30" width="11.44140625" customWidth="1"/>
  </cols>
  <sheetData>
    <row r="1" spans="1:30" ht="29.4">
      <c r="A1" s="1" t="s">
        <v>0</v>
      </c>
      <c r="B1" s="2"/>
      <c r="C1" s="2"/>
      <c r="D1" s="2"/>
      <c r="E1" s="2"/>
      <c r="F1" s="2"/>
      <c r="G1" s="2"/>
      <c r="H1" s="153" t="s">
        <v>1</v>
      </c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3"/>
      <c r="T1" s="2"/>
      <c r="U1" s="2"/>
      <c r="V1" s="2"/>
      <c r="W1" s="2"/>
      <c r="X1" s="2"/>
      <c r="Y1" s="2"/>
      <c r="Z1" s="2"/>
      <c r="AA1" s="2"/>
      <c r="AB1" s="2"/>
      <c r="AC1" s="4"/>
    </row>
    <row r="2" spans="1:30" ht="14.4">
      <c r="A2" s="1"/>
      <c r="B2" s="2"/>
      <c r="C2" s="2"/>
      <c r="D2" s="2"/>
      <c r="E2" s="155" t="s">
        <v>2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2"/>
      <c r="X2" s="2"/>
      <c r="Y2" s="2"/>
      <c r="Z2" s="2"/>
      <c r="AA2" s="2"/>
      <c r="AB2" s="2"/>
      <c r="AC2" s="4"/>
    </row>
    <row r="3" spans="1:30" ht="14.4">
      <c r="A3" s="2"/>
      <c r="B3" s="2"/>
      <c r="C3" s="2"/>
      <c r="D3" s="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5"/>
      <c r="S3" s="5"/>
      <c r="T3" s="5"/>
      <c r="U3" s="5"/>
      <c r="V3" s="5"/>
      <c r="W3" s="2"/>
      <c r="X3" s="2"/>
      <c r="Y3" s="2"/>
      <c r="Z3" s="2"/>
      <c r="AA3" s="2"/>
      <c r="AB3" s="2"/>
      <c r="AC3" s="4"/>
    </row>
    <row r="4" spans="1:30" ht="14.4">
      <c r="A4" s="156" t="s">
        <v>3</v>
      </c>
      <c r="B4" s="131"/>
      <c r="C4" s="157" t="s">
        <v>4</v>
      </c>
      <c r="D4" s="130"/>
      <c r="E4" s="130"/>
      <c r="F4" s="131"/>
      <c r="G4" s="7"/>
      <c r="H4" s="5"/>
      <c r="I4" s="5"/>
      <c r="J4" s="5"/>
      <c r="K4" s="5"/>
      <c r="L4" s="5"/>
      <c r="M4" s="5"/>
      <c r="N4" s="5"/>
      <c r="O4" s="5"/>
      <c r="P4" s="5"/>
      <c r="Q4" s="6"/>
      <c r="R4" s="5"/>
      <c r="S4" s="5"/>
      <c r="T4" s="5"/>
      <c r="U4" s="5"/>
      <c r="V4" s="5"/>
      <c r="W4" s="2"/>
      <c r="X4" s="2"/>
      <c r="Y4" s="2"/>
      <c r="Z4" s="2"/>
      <c r="AA4" s="2"/>
      <c r="AB4" s="2"/>
      <c r="AC4" s="4"/>
    </row>
    <row r="5" spans="1:30" ht="14.4">
      <c r="A5" s="159" t="s">
        <v>5</v>
      </c>
      <c r="B5" s="131"/>
      <c r="C5" s="158" t="s">
        <v>6</v>
      </c>
      <c r="D5" s="130"/>
      <c r="E5" s="130"/>
      <c r="F5" s="131"/>
      <c r="G5" s="8"/>
      <c r="H5" s="2"/>
      <c r="I5" s="159" t="s">
        <v>7</v>
      </c>
      <c r="J5" s="131"/>
      <c r="K5" s="158" t="s">
        <v>8</v>
      </c>
      <c r="L5" s="131"/>
      <c r="M5" s="2"/>
      <c r="N5" s="2"/>
      <c r="O5" s="2"/>
      <c r="P5" s="2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4"/>
    </row>
    <row r="6" spans="1:30" ht="14.4">
      <c r="A6" s="159" t="s">
        <v>9</v>
      </c>
      <c r="B6" s="131"/>
      <c r="C6" s="160">
        <v>2026</v>
      </c>
      <c r="D6" s="130"/>
      <c r="E6" s="130"/>
      <c r="F6" s="131"/>
      <c r="G6" s="2"/>
      <c r="H6" s="2"/>
      <c r="I6" s="161" t="e">
        <f>LOOKUP(K5,B8:AA9,B22:AB22)</f>
        <v>#N/A</v>
      </c>
      <c r="J6" s="130"/>
      <c r="K6" s="130"/>
      <c r="L6" s="131"/>
      <c r="M6" s="2"/>
      <c r="N6" s="2"/>
      <c r="O6" s="2"/>
      <c r="P6" s="2"/>
      <c r="Q6" s="9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4"/>
    </row>
    <row r="7" spans="1:30" ht="15.75" customHeight="1">
      <c r="A7" s="135" t="s">
        <v>10</v>
      </c>
      <c r="B7" s="136"/>
      <c r="C7" s="137" t="s">
        <v>11</v>
      </c>
      <c r="D7" s="138"/>
      <c r="E7" s="138"/>
      <c r="F7" s="139"/>
      <c r="G7" s="7"/>
      <c r="H7" s="2"/>
      <c r="I7" s="2"/>
      <c r="J7" s="2"/>
      <c r="K7" s="2"/>
      <c r="L7" s="2"/>
      <c r="M7" s="2"/>
      <c r="N7" s="2"/>
      <c r="O7" s="2"/>
      <c r="P7" s="2"/>
      <c r="Q7" s="9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"/>
    </row>
    <row r="8" spans="1:30" ht="74.25" customHeight="1">
      <c r="A8" s="140" t="s">
        <v>12</v>
      </c>
      <c r="B8" s="149" t="s">
        <v>13</v>
      </c>
      <c r="C8" s="143"/>
      <c r="D8" s="144"/>
      <c r="E8" s="150" t="s">
        <v>14</v>
      </c>
      <c r="F8" s="151"/>
      <c r="G8" s="151"/>
      <c r="H8" s="152"/>
      <c r="I8" s="11" t="s">
        <v>15</v>
      </c>
      <c r="J8" s="142" t="s">
        <v>16</v>
      </c>
      <c r="K8" s="143"/>
      <c r="L8" s="144"/>
      <c r="M8" s="13" t="s">
        <v>17</v>
      </c>
      <c r="N8" s="142" t="s">
        <v>18</v>
      </c>
      <c r="O8" s="143"/>
      <c r="P8" s="144"/>
      <c r="Q8" s="147" t="s">
        <v>19</v>
      </c>
      <c r="R8" s="145" t="s">
        <v>20</v>
      </c>
      <c r="S8" s="145" t="s">
        <v>21</v>
      </c>
      <c r="T8" s="142" t="s">
        <v>22</v>
      </c>
      <c r="U8" s="144"/>
      <c r="V8" s="145" t="s">
        <v>23</v>
      </c>
      <c r="W8" s="142" t="s">
        <v>24</v>
      </c>
      <c r="X8" s="144"/>
      <c r="Y8" s="164" t="s">
        <v>25</v>
      </c>
      <c r="Z8" s="162" t="s">
        <v>8</v>
      </c>
      <c r="AA8" s="145" t="s">
        <v>26</v>
      </c>
      <c r="AB8" s="145" t="s">
        <v>27</v>
      </c>
      <c r="AC8" s="4"/>
    </row>
    <row r="9" spans="1:30" ht="37.799999999999997">
      <c r="A9" s="141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3" t="s">
        <v>34</v>
      </c>
      <c r="I9" s="11" t="s">
        <v>15</v>
      </c>
      <c r="J9" s="11" t="s">
        <v>35</v>
      </c>
      <c r="K9" s="11" t="s">
        <v>36</v>
      </c>
      <c r="L9" s="13" t="s">
        <v>37</v>
      </c>
      <c r="M9" s="13" t="s">
        <v>38</v>
      </c>
      <c r="N9" s="11" t="s">
        <v>39</v>
      </c>
      <c r="O9" s="11" t="s">
        <v>40</v>
      </c>
      <c r="P9" s="11" t="s">
        <v>41</v>
      </c>
      <c r="Q9" s="148"/>
      <c r="R9" s="146"/>
      <c r="S9" s="146"/>
      <c r="T9" s="11" t="s">
        <v>42</v>
      </c>
      <c r="U9" s="11" t="s">
        <v>43</v>
      </c>
      <c r="V9" s="146"/>
      <c r="W9" s="11" t="s">
        <v>44</v>
      </c>
      <c r="X9" s="12" t="s">
        <v>45</v>
      </c>
      <c r="Y9" s="165"/>
      <c r="Z9" s="163"/>
      <c r="AA9" s="146"/>
      <c r="AB9" s="146"/>
      <c r="AC9" s="19"/>
    </row>
    <row r="10" spans="1:30" ht="14.4">
      <c r="A10" s="20" t="s">
        <v>46</v>
      </c>
      <c r="B10" s="21">
        <f>SUM('JUNTA 1'!B10+'JUNTA 2'!B10+'JUNTA 3'!B10+'JUNTA 4'!B10+'JUNTA 5'!B10+'JUNTA 6'!B10+'JUNTA 7'!B10+'JUNTA 8'!B10)</f>
        <v>0</v>
      </c>
      <c r="C10" s="21">
        <f>SUM('JUNTA 1'!C10+'JUNTA 2'!C10+'JUNTA 3'!C10+'JUNTA 4'!C10+'JUNTA 5'!C10+'JUNTA 6'!C10+'JUNTA 7'!C10+'JUNTA 8'!C10)</f>
        <v>0</v>
      </c>
      <c r="D10" s="21">
        <f>SUM('JUNTA 1'!D10+'JUNTA 2'!D10+'JUNTA 3'!D10+'JUNTA 4'!D10+'JUNTA 5'!D10+'JUNTA 6'!D10+'JUNTA 7'!D10+'JUNTA 8'!D10)</f>
        <v>0</v>
      </c>
      <c r="E10" s="21">
        <f>SUM('JUNTA 1'!E10+'JUNTA 2'!E10+'JUNTA 3'!E10+'JUNTA 4'!E10+'JUNTA 5'!E10+'JUNTA 6'!E10+'JUNTA 7'!E10+'JUNTA 8'!E10)</f>
        <v>15</v>
      </c>
      <c r="F10" s="21">
        <f>SUM('JUNTA 1'!F10+'JUNTA 2'!F10+'JUNTA 3'!F10+'JUNTA 4'!F10+'JUNTA 5'!F10+'JUNTA 6'!F10+'JUNTA 7'!F10+'JUNTA 8'!F10)</f>
        <v>10</v>
      </c>
      <c r="G10" s="21">
        <f>SUM('JUNTA 1'!G10+'JUNTA 2'!G10+'JUNTA 3'!G10+'JUNTA 4'!G10+'JUNTA 5'!G10+'JUNTA 6'!G10+'JUNTA 7'!G10+'JUNTA 8'!G10)</f>
        <v>0</v>
      </c>
      <c r="H10" s="21">
        <f>'AREA COLECTIVA Y E.H'!F9</f>
        <v>0</v>
      </c>
      <c r="I10" s="21">
        <f>'JUNTA 1'!O10+'JUNTA 2'!O10+'JUNTA 3'!O10+'JUNTA 4'!O10+'JUNTA 5'!O10+'JUNTA 6'!O10+'JUNTA 7'!O10+'JUNTA 8'!O10+'AREA COLECTIVA Y E.H'!P9</f>
        <v>2</v>
      </c>
      <c r="J10" s="21">
        <f>SUM('JUNTA 1'!H10+'JUNTA 2'!H10+'JUNTA 3'!H10+'JUNTA 4'!H10+'JUNTA 5'!H10+'JUNTA 6'!H10+'JUNTA 7'!H10+'JUNTA 8'!H10)</f>
        <v>561</v>
      </c>
      <c r="K10" s="21">
        <f>SUM('JUNTA 1'!I10+'JUNTA 2'!I10+'JUNTA 3'!I10+'JUNTA 4'!I10+'JUNTA 5'!I10+'JUNTA 6'!I10+'JUNTA 7'!I10+'JUNTA 8'!I10)</f>
        <v>213</v>
      </c>
      <c r="L10" s="21">
        <f>'AREA COLECTIVA Y E.H'!N9</f>
        <v>0</v>
      </c>
      <c r="M10" s="21">
        <f>'JUNTA 1'!J10+'JUNTA 2'!J10+'JUNTA 3'!J10+'JUNTA 4'!J10+'JUNTA 5'!J10+'JUNTA 6'!J10+'JUNTA 7'!J10+'JUNTA 8'!J10+'AREA COLECTIVA Y E.H'!E9+'AREA COLECTIVA Y E.H'!C9</f>
        <v>6</v>
      </c>
      <c r="N10" s="21">
        <f>SUM('JUNTA 1'!K10+'JUNTA 2'!K10+'JUNTA 3'!K10+'JUNTA 4'!K10+'JUNTA 5'!K10+'JUNTA 6'!K10+'JUNTA 7'!K10+'JUNTA 8'!K10)</f>
        <v>219</v>
      </c>
      <c r="O10" s="21">
        <f>SUM('JUNTA 1'!L10+'JUNTA 2'!L10+'JUNTA 3'!L10+'JUNTA 4'!L10+'JUNTA 5'!L10+'JUNTA 6'!L10+'JUNTA 7'!L10+'JUNTA 8'!L10)</f>
        <v>41</v>
      </c>
      <c r="P10" s="21">
        <f>SUM('JUNTA 1'!M10+'JUNTA 2'!M10+'JUNTA 3'!M10+'JUNTA 4'!M10+'JUNTA 5'!M10+'JUNTA 6'!M10+'JUNTA 7'!M10+'JUNTA 8'!M10)</f>
        <v>77</v>
      </c>
      <c r="Q10" s="21">
        <f>'AREA COLECTIVA Y E.H'!D9</f>
        <v>0</v>
      </c>
      <c r="R10" s="21">
        <f>'JUNTA 1'!N10+'JUNTA 2'!N10+'JUNTA 3'!N10+'JUNTA 4'!N10+'JUNTA 5'!N10+'JUNTA 6'!N10+'JUNTA 7'!N10+'JUNTA 8'!N10+'AREA COLECTIVA Y E.H'!H9</f>
        <v>4</v>
      </c>
      <c r="S10" s="21">
        <f>'JUNTA 1'!P10+'JUNTA 2'!P10+'JUNTA 3'!P10+'JUNTA 4'!P10+'JUNTA 5'!P10+'JUNTA 6'!P10+'JUNTA 7'!P10+'JUNTA 8'!P10+'AREA COLECTIVA Y E.H'!R9</f>
        <v>24</v>
      </c>
      <c r="T10" s="21">
        <f>'JUNTA 1'!Q10+'JUNTA 2'!Q10+'JUNTA 3'!Q10+'JUNTA 4'!Q10+'JUNTA 5'!Q10+'JUNTA 6'!Q10+'JUNTA 7'!Q10+'JUNTA 8'!Q10</f>
        <v>11</v>
      </c>
      <c r="U10" s="21">
        <f>'JUNTA 1'!R10+'JUNTA 2'!R10+'JUNTA 3'!R10+'JUNTA 4'!R10+'JUNTA 5'!R10+'JUNTA 6'!R10+'JUNTA 7'!R10+'JUNTA 8'!R10+'AREA COLECTIVA Y E.H'!I9</f>
        <v>1006</v>
      </c>
      <c r="V10" s="21">
        <f>'JUNTA 1'!S10+'JUNTA 2'!S10+'JUNTA 3'!S10+'JUNTA 4'!S10+'JUNTA 5'!S10+'JUNTA 6'!S10+'JUNTA 7'!S10+'JUNTA 8'!S10+'AREA COLECTIVA Y E.H'!U9</f>
        <v>16</v>
      </c>
      <c r="W10" s="21">
        <f>'JUNTA 1'!T10+'JUNTA 2'!T10+'JUNTA 3'!T10+'JUNTA 4'!T10+'JUNTA 5'!T10+'JUNTA 6'!T10+'JUNTA 7'!T10+'JUNTA 8'!T10</f>
        <v>2</v>
      </c>
      <c r="X10" s="21">
        <f>'JUNTA 1'!U10+'JUNTA 2'!U10+'JUNTA 3'!U10+'JUNTA 4'!U10+'JUNTA 5'!U10+'JUNTA 6'!U10+'JUNTA 7'!U10+'JUNTA 8'!U10</f>
        <v>3</v>
      </c>
      <c r="Y10" s="22">
        <f>'JUNTA 1'!V10+'JUNTA 2'!V10+'JUNTA 3'!V10+'JUNTA 4'!V10+'JUNTA 5'!V10+'JUNTA 6'!V10+'JUNTA 7'!V10+'JUNTA 8'!V10+'AREA COLECTIVA Y E.H'!Q9</f>
        <v>220</v>
      </c>
      <c r="Z10" s="21">
        <f>'JUNTA 1'!W10+'JUNTA 2'!W10+'JUNTA 3'!W10+'JUNTA 4'!W10+'JUNTA 5'!W10+'JUNTA 6'!W10+'JUNTA 7'!W10+'JUNTA 8'!W10+'AREA COLECTIVA Y E.H'!T9</f>
        <v>107</v>
      </c>
      <c r="AA10" s="21">
        <f>'JUNTA 1'!X10+'JUNTA 2'!X10+'JUNTA 3'!X10+'JUNTA 4'!X10+'JUNTA 5'!X10+'JUNTA 6'!X10+'JUNTA 7'!X10+'JUNTA 8'!X10</f>
        <v>23</v>
      </c>
      <c r="AB10" s="120">
        <f>SUM(B10:AA10)</f>
        <v>2560</v>
      </c>
      <c r="AC10" s="4"/>
    </row>
    <row r="11" spans="1:30" ht="14.4">
      <c r="A11" s="24" t="s">
        <v>47</v>
      </c>
      <c r="B11" s="21">
        <f>SUM('JUNTA 1'!B11+'JUNTA 2'!B11+'JUNTA 3'!B11+'JUNTA 4'!B11+'JUNTA 5'!B11+'JUNTA 6'!B11+'JUNTA 7'!B11+'JUNTA 8'!B11)</f>
        <v>0</v>
      </c>
      <c r="C11" s="21">
        <f>SUM('JUNTA 1'!C11+'JUNTA 2'!C11+'JUNTA 3'!C11+'JUNTA 4'!C11+'JUNTA 5'!C11+'JUNTA 6'!C11+'JUNTA 7'!C11+'JUNTA 8'!C11)</f>
        <v>0</v>
      </c>
      <c r="D11" s="21">
        <f>SUM('JUNTA 1'!D11+'JUNTA 2'!D11+'JUNTA 3'!D11+'JUNTA 4'!D11+'JUNTA 5'!D11+'JUNTA 6'!D11+'JUNTA 7'!D11+'JUNTA 8'!D11)</f>
        <v>0</v>
      </c>
      <c r="E11" s="21">
        <f>SUM('JUNTA 1'!E11+'JUNTA 2'!E11+'JUNTA 3'!E11+'JUNTA 4'!E11+'JUNTA 5'!E11+'JUNTA 6'!E11+'JUNTA 7'!E11+'JUNTA 8'!E11)</f>
        <v>45</v>
      </c>
      <c r="F11" s="21">
        <f>SUM('JUNTA 1'!F11+'JUNTA 2'!F11+'JUNTA 3'!F11+'JUNTA 4'!F11+'JUNTA 5'!F11+'JUNTA 6'!F11+'JUNTA 7'!F11+'JUNTA 8'!F11)</f>
        <v>23</v>
      </c>
      <c r="G11" s="21">
        <f>SUM('JUNTA 1'!G11+'JUNTA 2'!G11+'JUNTA 3'!G11+'JUNTA 4'!G11+'JUNTA 5'!G11+'JUNTA 6'!G11+'JUNTA 7'!G11+'JUNTA 8'!G11)</f>
        <v>34</v>
      </c>
      <c r="H11" s="21">
        <f>'AREA COLECTIVA Y E.H'!F10</f>
        <v>0</v>
      </c>
      <c r="I11" s="21">
        <f>'JUNTA 1'!O11+'JUNTA 2'!O11+'JUNTA 3'!O11+'JUNTA 4'!O11+'JUNTA 5'!O11+'JUNTA 6'!O11+'JUNTA 7'!O11+'JUNTA 8'!O11+'AREA COLECTIVA Y E.H'!P10</f>
        <v>15</v>
      </c>
      <c r="J11" s="21">
        <f>SUM('JUNTA 1'!H11+'JUNTA 2'!H11+'JUNTA 3'!H11+'JUNTA 4'!H11+'JUNTA 5'!H11+'JUNTA 6'!H11+'JUNTA 7'!H11+'JUNTA 8'!H11)</f>
        <v>1366</v>
      </c>
      <c r="K11" s="21">
        <f>SUM('JUNTA 1'!I11+'JUNTA 2'!I11+'JUNTA 3'!I11+'JUNTA 4'!I11+'JUNTA 5'!I11+'JUNTA 6'!I11+'JUNTA 7'!I11+'JUNTA 8'!I11)</f>
        <v>558</v>
      </c>
      <c r="L11" s="21">
        <f>'AREA COLECTIVA Y E.H'!N10</f>
        <v>11</v>
      </c>
      <c r="M11" s="21">
        <f>'JUNTA 1'!J11+'JUNTA 2'!J11+'JUNTA 3'!J11+'JUNTA 4'!J11+'JUNTA 5'!J11+'JUNTA 6'!J11+'JUNTA 7'!J11+'JUNTA 8'!J11+'AREA COLECTIVA Y E.H'!E10+'AREA COLECTIVA Y E.H'!C10</f>
        <v>21</v>
      </c>
      <c r="N11" s="21">
        <f>SUM('JUNTA 1'!K11+'JUNTA 2'!K11+'JUNTA 3'!K11+'JUNTA 4'!K11+'JUNTA 5'!K11+'JUNTA 6'!K11+'JUNTA 7'!K11+'JUNTA 8'!K11)</f>
        <v>304</v>
      </c>
      <c r="O11" s="21">
        <f>SUM('JUNTA 1'!L11+'JUNTA 2'!L11+'JUNTA 3'!L11+'JUNTA 4'!L11+'JUNTA 5'!L11+'JUNTA 6'!L11+'JUNTA 7'!L11+'JUNTA 8'!L11)</f>
        <v>58</v>
      </c>
      <c r="P11" s="21">
        <f>SUM('JUNTA 1'!M11+'JUNTA 2'!M11+'JUNTA 3'!M11+'JUNTA 4'!M11+'JUNTA 5'!M11+'JUNTA 6'!M11+'JUNTA 7'!M11+'JUNTA 8'!M11)</f>
        <v>108</v>
      </c>
      <c r="Q11" s="21">
        <f>'AREA COLECTIVA Y E.H'!D10</f>
        <v>1</v>
      </c>
      <c r="R11" s="21">
        <f>'JUNTA 1'!N11+'JUNTA 2'!N11+'JUNTA 3'!N11+'JUNTA 4'!N11+'JUNTA 5'!N11+'JUNTA 6'!N11+'JUNTA 7'!N11+'JUNTA 8'!N11+'AREA COLECTIVA Y E.H'!H10</f>
        <v>11</v>
      </c>
      <c r="S11" s="21">
        <f>'JUNTA 1'!P11+'JUNTA 2'!P11+'JUNTA 3'!P11+'JUNTA 4'!P11+'JUNTA 5'!P11+'JUNTA 6'!P11+'JUNTA 7'!P11+'JUNTA 8'!P11+'AREA COLECTIVA Y E.H'!R10</f>
        <v>249</v>
      </c>
      <c r="T11" s="21">
        <f>'JUNTA 1'!Q11+'JUNTA 2'!Q11+'JUNTA 3'!Q11+'JUNTA 4'!Q11+'JUNTA 5'!Q11+'JUNTA 6'!Q11+'JUNTA 7'!Q11+'JUNTA 8'!Q11</f>
        <v>27</v>
      </c>
      <c r="U11" s="21">
        <f>'JUNTA 1'!R11+'JUNTA 2'!R11+'JUNTA 3'!R11+'JUNTA 4'!R11+'JUNTA 5'!R11+'JUNTA 6'!R11+'JUNTA 7'!R11+'JUNTA 8'!R11+'AREA COLECTIVA Y E.H'!I10</f>
        <v>1968</v>
      </c>
      <c r="V11" s="21">
        <f>'JUNTA 1'!S11+'JUNTA 2'!S11+'JUNTA 3'!S11+'JUNTA 4'!S11+'JUNTA 5'!S11+'JUNTA 6'!S11+'JUNTA 7'!S11+'JUNTA 8'!S11+'AREA COLECTIVA Y E.H'!U10</f>
        <v>42</v>
      </c>
      <c r="W11" s="21">
        <f>'JUNTA 1'!T11+'JUNTA 2'!T11+'JUNTA 3'!T11+'JUNTA 4'!T11+'JUNTA 5'!T11+'JUNTA 6'!T11+'JUNTA 7'!T11+'JUNTA 8'!T11</f>
        <v>33</v>
      </c>
      <c r="X11" s="21">
        <f>'JUNTA 1'!U11+'JUNTA 2'!U11+'JUNTA 3'!U11+'JUNTA 4'!U11+'JUNTA 5'!U11+'JUNTA 6'!U11+'JUNTA 7'!U11+'JUNTA 8'!U11</f>
        <v>43</v>
      </c>
      <c r="Y11" s="21">
        <f>'JUNTA 1'!V11+'JUNTA 2'!V11+'JUNTA 3'!V11+'JUNTA 4'!V11+'JUNTA 5'!V11+'JUNTA 6'!V11+'JUNTA 7'!V11+'JUNTA 8'!V11+'AREA COLECTIVA Y E.H'!Q10</f>
        <v>454</v>
      </c>
      <c r="Z11" s="21">
        <f>'JUNTA 1'!W11+'JUNTA 2'!W11+'JUNTA 3'!W11+'JUNTA 4'!W11+'JUNTA 5'!W11+'JUNTA 6'!W11+'JUNTA 7'!W11+'JUNTA 8'!W11+'AREA COLECTIVA Y E.H'!T10</f>
        <v>173</v>
      </c>
      <c r="AA11" s="21">
        <f>'JUNTA 1'!X11+'JUNTA 2'!X11+'JUNTA 3'!X11+'JUNTA 4'!X11+'JUNTA 5'!X11+'JUNTA 6'!X11+'JUNTA 7'!X11+'JUNTA 8'!X11</f>
        <v>37</v>
      </c>
      <c r="AB11" s="120">
        <f t="shared" ref="AB11:AB21" si="0">SUM(B11:AA11)</f>
        <v>5581</v>
      </c>
    </row>
    <row r="12" spans="1:30" ht="14.4">
      <c r="A12" s="24" t="s">
        <v>48</v>
      </c>
      <c r="B12" s="21">
        <f>SUM('JUNTA 1'!B12+'JUNTA 2'!B12+'JUNTA 3'!B12+'JUNTA 4'!B12+'JUNTA 5'!B12+'JUNTA 6'!B12+'JUNTA 7'!B12+'JUNTA 8'!B12)</f>
        <v>2</v>
      </c>
      <c r="C12" s="21">
        <f>SUM('JUNTA 1'!C12+'JUNTA 2'!C12+'JUNTA 3'!C12+'JUNTA 4'!C12+'JUNTA 5'!C12+'JUNTA 6'!C12+'JUNTA 7'!C12+'JUNTA 8'!C12)</f>
        <v>0</v>
      </c>
      <c r="D12" s="21">
        <f>SUM('JUNTA 1'!D12+'JUNTA 2'!D12+'JUNTA 3'!D12+'JUNTA 4'!D12+'JUNTA 5'!D12+'JUNTA 6'!D12+'JUNTA 7'!D12+'JUNTA 8'!D12)</f>
        <v>0</v>
      </c>
      <c r="E12" s="21">
        <f>SUM('JUNTA 1'!E12+'JUNTA 2'!E12+'JUNTA 3'!E12+'JUNTA 4'!E12+'JUNTA 5'!E12+'JUNTA 6'!E12+'JUNTA 7'!E12+'JUNTA 8'!E12)</f>
        <v>67</v>
      </c>
      <c r="F12" s="21">
        <f>SUM('JUNTA 1'!F12+'JUNTA 2'!F12+'JUNTA 3'!F12+'JUNTA 4'!F12+'JUNTA 5'!F12+'JUNTA 6'!F12+'JUNTA 7'!F12+'JUNTA 8'!F12)</f>
        <v>45</v>
      </c>
      <c r="G12" s="21">
        <f>SUM('JUNTA 1'!G12+'JUNTA 2'!G12+'JUNTA 3'!G12+'JUNTA 4'!G12+'JUNTA 5'!G12+'JUNTA 6'!G12+'JUNTA 7'!G12+'JUNTA 8'!G12)</f>
        <v>43</v>
      </c>
      <c r="H12" s="21">
        <f>'AREA COLECTIVA Y E.H'!F11</f>
        <v>4</v>
      </c>
      <c r="I12" s="21">
        <f>'JUNTA 1'!O12+'JUNTA 2'!O12+'JUNTA 3'!O12+'JUNTA 4'!O12+'JUNTA 5'!O12+'JUNTA 6'!O12+'JUNTA 7'!O12+'JUNTA 8'!O12+'AREA COLECTIVA Y E.H'!P11</f>
        <v>16</v>
      </c>
      <c r="J12" s="21">
        <f>SUM('JUNTA 1'!H12+'JUNTA 2'!H12+'JUNTA 3'!H12+'JUNTA 4'!H12+'JUNTA 5'!H12+'JUNTA 6'!H12+'JUNTA 7'!H12+'JUNTA 8'!H12)</f>
        <v>1915</v>
      </c>
      <c r="K12" s="21">
        <f>SUM('JUNTA 1'!I12+'JUNTA 2'!I12+'JUNTA 3'!I12+'JUNTA 4'!I12+'JUNTA 5'!I12+'JUNTA 6'!I12+'JUNTA 7'!I12+'JUNTA 8'!I12)</f>
        <v>837</v>
      </c>
      <c r="L12" s="21">
        <f>'AREA COLECTIVA Y E.H'!N11</f>
        <v>37</v>
      </c>
      <c r="M12" s="21">
        <f>'JUNTA 1'!J12+'JUNTA 2'!J12+'JUNTA 3'!J12+'JUNTA 4'!J12+'JUNTA 5'!J12+'JUNTA 6'!J12+'JUNTA 7'!J12+'JUNTA 8'!J12+'AREA COLECTIVA Y E.H'!E11+'AREA COLECTIVA Y E.H'!C11</f>
        <v>29</v>
      </c>
      <c r="N12" s="21">
        <f>SUM('JUNTA 1'!K12+'JUNTA 2'!K12+'JUNTA 3'!K12+'JUNTA 4'!K12+'JUNTA 5'!K12+'JUNTA 6'!K12+'JUNTA 7'!K12+'JUNTA 8'!K12)</f>
        <v>432</v>
      </c>
      <c r="O12" s="21">
        <f>SUM('JUNTA 1'!L12+'JUNTA 2'!L12+'JUNTA 3'!L12+'JUNTA 4'!L12+'JUNTA 5'!L12+'JUNTA 6'!L12+'JUNTA 7'!L12+'JUNTA 8'!L12)</f>
        <v>58</v>
      </c>
      <c r="P12" s="21">
        <f>SUM('JUNTA 1'!M12+'JUNTA 2'!M12+'JUNTA 3'!M12+'JUNTA 4'!M12+'JUNTA 5'!M12+'JUNTA 6'!M12+'JUNTA 7'!M12+'JUNTA 8'!M12)</f>
        <v>218</v>
      </c>
      <c r="Q12" s="21">
        <f>'AREA COLECTIVA Y E.H'!D11</f>
        <v>5</v>
      </c>
      <c r="R12" s="21">
        <f>'JUNTA 1'!N12+'JUNTA 2'!N12+'JUNTA 3'!N12+'JUNTA 4'!N12+'JUNTA 5'!N12+'JUNTA 6'!N12+'JUNTA 7'!N12+'JUNTA 8'!N12+'AREA COLECTIVA Y E.H'!H11</f>
        <v>15</v>
      </c>
      <c r="S12" s="21">
        <f>'JUNTA 1'!P12+'JUNTA 2'!P12+'JUNTA 3'!P12+'JUNTA 4'!P12+'JUNTA 5'!P12+'JUNTA 6'!P12+'JUNTA 7'!P12+'JUNTA 8'!P12+'AREA COLECTIVA Y E.H'!R11</f>
        <v>82</v>
      </c>
      <c r="T12" s="21">
        <f>'JUNTA 1'!Q12+'JUNTA 2'!Q12+'JUNTA 3'!Q12+'JUNTA 4'!Q12+'JUNTA 5'!Q12+'JUNTA 6'!Q12+'JUNTA 7'!Q12+'JUNTA 8'!Q12</f>
        <v>64</v>
      </c>
      <c r="U12" s="21">
        <f>'JUNTA 1'!R12+'JUNTA 2'!R12+'JUNTA 3'!R12+'JUNTA 4'!R12+'JUNTA 5'!R12+'JUNTA 6'!R12+'JUNTA 7'!R12+'JUNTA 8'!R12+'AREA COLECTIVA Y E.H'!I11</f>
        <v>2737</v>
      </c>
      <c r="V12" s="21">
        <f>'JUNTA 1'!S12+'JUNTA 2'!S12+'JUNTA 3'!S12+'JUNTA 4'!S12+'JUNTA 5'!S12+'JUNTA 6'!S12+'JUNTA 7'!S12+'JUNTA 8'!S12+'AREA COLECTIVA Y E.H'!U11</f>
        <v>83</v>
      </c>
      <c r="W12" s="21">
        <f>'JUNTA 1'!T12+'JUNTA 2'!T12+'JUNTA 3'!T12+'JUNTA 4'!T12+'JUNTA 5'!T12+'JUNTA 6'!T12+'JUNTA 7'!T12+'JUNTA 8'!T12</f>
        <v>38</v>
      </c>
      <c r="X12" s="21">
        <f>'JUNTA 1'!U12+'JUNTA 2'!U12+'JUNTA 3'!U12+'JUNTA 4'!U12+'JUNTA 5'!U12+'JUNTA 6'!U12+'JUNTA 7'!U12+'JUNTA 8'!U12</f>
        <v>66</v>
      </c>
      <c r="Y12" s="21">
        <f>'JUNTA 1'!V12+'JUNTA 2'!V12+'JUNTA 3'!V12+'JUNTA 4'!V12+'JUNTA 5'!V12+'JUNTA 6'!V12+'JUNTA 7'!V12+'JUNTA 8'!V12+'AREA COLECTIVA Y E.H'!Q11</f>
        <v>1459</v>
      </c>
      <c r="Z12" s="21">
        <f>'JUNTA 1'!W12+'JUNTA 2'!W12+'JUNTA 3'!W12+'JUNTA 4'!W12+'JUNTA 5'!W12+'JUNTA 6'!W12+'JUNTA 7'!W12+'JUNTA 8'!W12+'AREA COLECTIVA Y E.H'!T11</f>
        <v>134</v>
      </c>
      <c r="AA12" s="21">
        <f>'JUNTA 1'!X12+'JUNTA 2'!X12+'JUNTA 3'!X12+'JUNTA 4'!X12+'JUNTA 5'!X12+'JUNTA 6'!X12+'JUNTA 7'!X12+'JUNTA 8'!X12</f>
        <v>78</v>
      </c>
      <c r="AB12" s="120">
        <f t="shared" si="0"/>
        <v>8464</v>
      </c>
      <c r="AC12" s="4"/>
    </row>
    <row r="13" spans="1:30" ht="14.4">
      <c r="A13" s="24" t="s">
        <v>49</v>
      </c>
      <c r="B13" s="21">
        <f>SUM('JUNTA 1'!B13+'JUNTA 2'!B13+'JUNTA 3'!B13+'JUNTA 4'!B13+'JUNTA 5'!B13+'JUNTA 6'!B13+'JUNTA 7'!B13+'JUNTA 8'!B13)</f>
        <v>0</v>
      </c>
      <c r="C13" s="21">
        <f>SUM('JUNTA 1'!C13+'JUNTA 2'!C13+'JUNTA 3'!C13+'JUNTA 4'!C13+'JUNTA 5'!C13+'JUNTA 6'!C13+'JUNTA 7'!C13+'JUNTA 8'!C13)</f>
        <v>0</v>
      </c>
      <c r="D13" s="21">
        <f>SUM('JUNTA 1'!D13+'JUNTA 2'!D13+'JUNTA 3'!D13+'JUNTA 4'!D13+'JUNTA 5'!D13+'JUNTA 6'!D13+'JUNTA 7'!D13+'JUNTA 8'!D13)</f>
        <v>0</v>
      </c>
      <c r="E13" s="21">
        <f>SUM('JUNTA 1'!E13+'JUNTA 2'!E13+'JUNTA 3'!E13+'JUNTA 4'!E13+'JUNTA 5'!E13+'JUNTA 6'!E13+'JUNTA 7'!E13+'JUNTA 8'!E13)</f>
        <v>71</v>
      </c>
      <c r="F13" s="21">
        <f>SUM('JUNTA 1'!F13+'JUNTA 2'!F13+'JUNTA 3'!F13+'JUNTA 4'!F13+'JUNTA 5'!F13+'JUNTA 6'!F13+'JUNTA 7'!F13+'JUNTA 8'!F13)</f>
        <v>27</v>
      </c>
      <c r="G13" s="21">
        <f>SUM('JUNTA 1'!G13+'JUNTA 2'!G13+'JUNTA 3'!G13+'JUNTA 4'!G13+'JUNTA 5'!G13+'JUNTA 6'!G13+'JUNTA 7'!G13+'JUNTA 8'!G13)</f>
        <v>44</v>
      </c>
      <c r="H13" s="21">
        <f>'AREA COLECTIVA Y E.H'!F12</f>
        <v>0</v>
      </c>
      <c r="I13" s="21">
        <f>'JUNTA 1'!O13+'JUNTA 2'!O13+'JUNTA 3'!O13+'JUNTA 4'!O13+'JUNTA 5'!O13+'JUNTA 6'!O13+'JUNTA 7'!O13+'JUNTA 8'!O13+'AREA COLECTIVA Y E.H'!P12</f>
        <v>21</v>
      </c>
      <c r="J13" s="21">
        <f>SUM('JUNTA 1'!H13+'JUNTA 2'!H13+'JUNTA 3'!H13+'JUNTA 4'!H13+'JUNTA 5'!H13+'JUNTA 6'!H13+'JUNTA 7'!H13+'JUNTA 8'!H13)</f>
        <v>2056</v>
      </c>
      <c r="K13" s="21">
        <f>SUM('JUNTA 1'!I13+'JUNTA 2'!I13+'JUNTA 3'!I13+'JUNTA 4'!I13+'JUNTA 5'!I13+'JUNTA 6'!I13+'JUNTA 7'!I13+'JUNTA 8'!I13)</f>
        <v>1061</v>
      </c>
      <c r="L13" s="21">
        <f>'AREA COLECTIVA Y E.H'!N12</f>
        <v>64</v>
      </c>
      <c r="M13" s="21">
        <f>'JUNTA 1'!J13+'JUNTA 2'!J13+'JUNTA 3'!J13+'JUNTA 4'!J13+'JUNTA 5'!J13+'JUNTA 6'!J13+'JUNTA 7'!J13+'JUNTA 8'!J13+'AREA COLECTIVA Y E.H'!E12+'AREA COLECTIVA Y E.H'!C12</f>
        <v>55</v>
      </c>
      <c r="N13" s="21">
        <f>SUM('JUNTA 1'!K13+'JUNTA 2'!K13+'JUNTA 3'!K13+'JUNTA 4'!K13+'JUNTA 5'!K13+'JUNTA 6'!K13+'JUNTA 7'!K13+'JUNTA 8'!K13)</f>
        <v>485</v>
      </c>
      <c r="O13" s="21">
        <f>SUM('JUNTA 1'!L13+'JUNTA 2'!L13+'JUNTA 3'!L13+'JUNTA 4'!L13+'JUNTA 5'!L13+'JUNTA 6'!L13+'JUNTA 7'!L13+'JUNTA 8'!L13)</f>
        <v>47</v>
      </c>
      <c r="P13" s="21">
        <f>SUM('JUNTA 1'!M13+'JUNTA 2'!M13+'JUNTA 3'!M13+'JUNTA 4'!M13+'JUNTA 5'!M13+'JUNTA 6'!M13+'JUNTA 7'!M13+'JUNTA 8'!M13)</f>
        <v>273</v>
      </c>
      <c r="Q13" s="21">
        <f>'AREA COLECTIVA Y E.H'!D12</f>
        <v>10</v>
      </c>
      <c r="R13" s="21">
        <f>'JUNTA 1'!N13+'JUNTA 2'!N13+'JUNTA 3'!N13+'JUNTA 4'!N13+'JUNTA 5'!N13+'JUNTA 6'!N13+'JUNTA 7'!N13+'JUNTA 8'!N13+'AREA COLECTIVA Y E.H'!H12</f>
        <v>40</v>
      </c>
      <c r="S13" s="21">
        <f>'JUNTA 1'!P13+'JUNTA 2'!P13+'JUNTA 3'!P13+'JUNTA 4'!P13+'JUNTA 5'!P13+'JUNTA 6'!P13+'JUNTA 7'!P13+'JUNTA 8'!P13+'AREA COLECTIVA Y E.H'!R12</f>
        <v>73</v>
      </c>
      <c r="T13" s="21">
        <f>'JUNTA 1'!Q13+'JUNTA 2'!Q13+'JUNTA 3'!Q13+'JUNTA 4'!Q13+'JUNTA 5'!Q13+'JUNTA 6'!Q13+'JUNTA 7'!Q13+'JUNTA 8'!Q13</f>
        <v>68</v>
      </c>
      <c r="U13" s="21">
        <f>'JUNTA 1'!R13+'JUNTA 2'!R13+'JUNTA 3'!R13+'JUNTA 4'!R13+'JUNTA 5'!R13+'JUNTA 6'!R13+'JUNTA 7'!R13+'JUNTA 8'!R13+'AREA COLECTIVA Y E.H'!I12</f>
        <v>3927</v>
      </c>
      <c r="V13" s="21">
        <f>'JUNTA 1'!S13+'JUNTA 2'!S13+'JUNTA 3'!S13+'JUNTA 4'!S13+'JUNTA 5'!S13+'JUNTA 6'!S13+'JUNTA 7'!S13+'JUNTA 8'!S13+'AREA COLECTIVA Y E.H'!U12</f>
        <v>55</v>
      </c>
      <c r="W13" s="21">
        <f>'JUNTA 1'!T13+'JUNTA 2'!T13+'JUNTA 3'!T13+'JUNTA 4'!T13+'JUNTA 5'!T13+'JUNTA 6'!T13+'JUNTA 7'!T13+'JUNTA 8'!T13</f>
        <v>44</v>
      </c>
      <c r="X13" s="21">
        <f>'JUNTA 1'!U13+'JUNTA 2'!U13+'JUNTA 3'!U13+'JUNTA 4'!U13+'JUNTA 5'!U13+'JUNTA 6'!U13+'JUNTA 7'!U13+'JUNTA 8'!U13</f>
        <v>89</v>
      </c>
      <c r="Y13" s="21">
        <f>'JUNTA 1'!V13+'JUNTA 2'!V13+'JUNTA 3'!V13+'JUNTA 4'!V13+'JUNTA 5'!V13+'JUNTA 6'!V13+'JUNTA 7'!V13+'JUNTA 8'!V13+'AREA COLECTIVA Y E.H'!Q12</f>
        <v>1505</v>
      </c>
      <c r="Z13" s="21">
        <f>'JUNTA 1'!W13+'JUNTA 2'!W13+'JUNTA 3'!W13+'JUNTA 4'!W13+'JUNTA 5'!W13+'JUNTA 6'!W13+'JUNTA 7'!W13+'JUNTA 8'!W13+'AREA COLECTIVA Y E.H'!T12</f>
        <v>377</v>
      </c>
      <c r="AA13" s="21">
        <f>'JUNTA 1'!X13+'JUNTA 2'!X13+'JUNTA 3'!X13+'JUNTA 4'!X13+'JUNTA 5'!X13+'JUNTA 6'!X13+'JUNTA 7'!X13+'JUNTA 8'!X13</f>
        <v>79</v>
      </c>
      <c r="AB13" s="120">
        <f t="shared" si="0"/>
        <v>10471</v>
      </c>
      <c r="AC13" s="4"/>
      <c r="AD13" s="23"/>
    </row>
    <row r="14" spans="1:30" ht="14.4">
      <c r="A14" s="24" t="s">
        <v>50</v>
      </c>
      <c r="B14" s="21">
        <f>SUM('JUNTA 1'!B14+'JUNTA 2'!B14+'JUNTA 3'!B14+'JUNTA 4'!B14+'JUNTA 5'!B14+'JUNTA 6'!B14+'JUNTA 7'!B14+'JUNTA 8'!B14)</f>
        <v>0</v>
      </c>
      <c r="C14" s="21">
        <f>SUM('JUNTA 1'!C14+'JUNTA 2'!C14+'JUNTA 3'!C14+'JUNTA 4'!C14+'JUNTA 5'!C14+'JUNTA 6'!C14+'JUNTA 7'!C14+'JUNTA 8'!C14)</f>
        <v>0</v>
      </c>
      <c r="D14" s="21">
        <f>SUM('JUNTA 1'!D14+'JUNTA 2'!D14+'JUNTA 3'!D14+'JUNTA 4'!D14+'JUNTA 5'!D14+'JUNTA 6'!D14+'JUNTA 7'!D14+'JUNTA 8'!D14)</f>
        <v>0</v>
      </c>
      <c r="E14" s="21">
        <f>SUM('JUNTA 1'!E14+'JUNTA 2'!E14+'JUNTA 3'!E14+'JUNTA 4'!E14+'JUNTA 5'!E14+'JUNTA 6'!E14+'JUNTA 7'!E14+'JUNTA 8'!E14)</f>
        <v>0</v>
      </c>
      <c r="F14" s="21">
        <f>SUM('JUNTA 1'!F14+'JUNTA 2'!F14+'JUNTA 3'!F14+'JUNTA 4'!F14+'JUNTA 5'!F14+'JUNTA 6'!F14+'JUNTA 7'!F14+'JUNTA 8'!F14)</f>
        <v>0</v>
      </c>
      <c r="G14" s="21">
        <f>SUM('JUNTA 1'!G14+'JUNTA 2'!G14+'JUNTA 3'!G14+'JUNTA 4'!G14+'JUNTA 5'!G14+'JUNTA 6'!G14+'JUNTA 7'!G14+'JUNTA 8'!G14)</f>
        <v>0</v>
      </c>
      <c r="H14" s="21">
        <f>'AREA COLECTIVA Y E.H'!F13</f>
        <v>0</v>
      </c>
      <c r="I14" s="21">
        <f>'JUNTA 1'!O14+'JUNTA 2'!O14+'JUNTA 3'!O14+'JUNTA 4'!O14+'JUNTA 5'!O14+'JUNTA 6'!O14+'JUNTA 7'!O14+'JUNTA 8'!O14+'AREA COLECTIVA Y E.H'!P13</f>
        <v>0</v>
      </c>
      <c r="J14" s="21">
        <f>SUM('JUNTA 1'!H14+'JUNTA 2'!H14+'JUNTA 3'!H14+'JUNTA 4'!H14+'JUNTA 5'!H14+'JUNTA 6'!H14+'JUNTA 7'!H14+'JUNTA 8'!H14)</f>
        <v>0</v>
      </c>
      <c r="K14" s="21">
        <f>SUM('JUNTA 1'!I14+'JUNTA 2'!I14+'JUNTA 3'!I14+'JUNTA 4'!I14+'JUNTA 5'!I14+'JUNTA 6'!I14+'JUNTA 7'!I14+'JUNTA 8'!I14)</f>
        <v>0</v>
      </c>
      <c r="L14" s="21">
        <f>'AREA COLECTIVA Y E.H'!N13</f>
        <v>0</v>
      </c>
      <c r="M14" s="21">
        <f>'JUNTA 1'!J14+'JUNTA 2'!J14+'JUNTA 3'!J14+'JUNTA 4'!J14+'JUNTA 5'!J14+'JUNTA 6'!J14+'JUNTA 7'!J14+'JUNTA 8'!J14+'AREA COLECTIVA Y E.H'!E13+'AREA COLECTIVA Y E.H'!C13</f>
        <v>0</v>
      </c>
      <c r="N14" s="21">
        <f>SUM('JUNTA 1'!K14+'JUNTA 2'!K14+'JUNTA 3'!K14+'JUNTA 4'!K14+'JUNTA 5'!K14+'JUNTA 6'!K14+'JUNTA 7'!K14+'JUNTA 8'!K14)</f>
        <v>0</v>
      </c>
      <c r="O14" s="21">
        <f>SUM('JUNTA 1'!L14+'JUNTA 2'!L14+'JUNTA 3'!L14+'JUNTA 4'!L14+'JUNTA 5'!L14+'JUNTA 6'!L14+'JUNTA 7'!L14+'JUNTA 8'!L14)</f>
        <v>0</v>
      </c>
      <c r="P14" s="21">
        <f>SUM('JUNTA 1'!M14+'JUNTA 2'!M14+'JUNTA 3'!M14+'JUNTA 4'!M14+'JUNTA 5'!M14+'JUNTA 6'!M14+'JUNTA 7'!M14+'JUNTA 8'!M14)</f>
        <v>0</v>
      </c>
      <c r="Q14" s="21">
        <f>'AREA COLECTIVA Y E.H'!D13</f>
        <v>0</v>
      </c>
      <c r="R14" s="21">
        <f>'JUNTA 1'!N14+'JUNTA 2'!N14+'JUNTA 3'!N14+'JUNTA 4'!N14+'JUNTA 5'!N14+'JUNTA 6'!N14+'JUNTA 7'!N14+'JUNTA 8'!N14+'AREA COLECTIVA Y E.H'!H13</f>
        <v>0</v>
      </c>
      <c r="S14" s="21">
        <f>'JUNTA 1'!P14+'JUNTA 2'!P14+'JUNTA 3'!P14+'JUNTA 4'!P14+'JUNTA 5'!P14+'JUNTA 6'!P14+'JUNTA 7'!P14+'JUNTA 8'!P14+'AREA COLECTIVA Y E.H'!R13</f>
        <v>0</v>
      </c>
      <c r="T14" s="21">
        <f>'JUNTA 1'!Q14+'JUNTA 2'!Q14+'JUNTA 3'!Q14+'JUNTA 4'!Q14+'JUNTA 5'!Q14+'JUNTA 6'!Q14+'JUNTA 7'!Q14+'JUNTA 8'!Q14</f>
        <v>0</v>
      </c>
      <c r="U14" s="21">
        <f>'JUNTA 1'!R14+'JUNTA 2'!R14+'JUNTA 3'!R14+'JUNTA 4'!R14+'JUNTA 5'!R14+'JUNTA 6'!R14+'JUNTA 7'!R14+'JUNTA 8'!R14+'AREA COLECTIVA Y E.H'!I13</f>
        <v>0</v>
      </c>
      <c r="V14" s="21">
        <f>'JUNTA 1'!S14+'JUNTA 2'!S14+'JUNTA 3'!S14+'JUNTA 4'!S14+'JUNTA 5'!S14+'JUNTA 6'!S14+'JUNTA 7'!S14+'JUNTA 8'!S14+'AREA COLECTIVA Y E.H'!U13</f>
        <v>0</v>
      </c>
      <c r="W14" s="21">
        <f>'JUNTA 1'!T14+'JUNTA 2'!T14+'JUNTA 3'!T14+'JUNTA 4'!T14+'JUNTA 5'!T14+'JUNTA 6'!T14+'JUNTA 7'!T14+'JUNTA 8'!T14</f>
        <v>0</v>
      </c>
      <c r="X14" s="21">
        <f>'JUNTA 1'!U14+'JUNTA 2'!U14+'JUNTA 3'!U14+'JUNTA 4'!U14+'JUNTA 5'!U14+'JUNTA 6'!U14+'JUNTA 7'!U14+'JUNTA 8'!U14</f>
        <v>0</v>
      </c>
      <c r="Y14" s="21">
        <f>'JUNTA 1'!V14+'JUNTA 2'!V14+'JUNTA 3'!V14+'JUNTA 4'!V14+'JUNTA 5'!V14+'JUNTA 6'!V14+'JUNTA 7'!V14+'JUNTA 8'!V14+'AREA COLECTIVA Y E.H'!Q13</f>
        <v>0</v>
      </c>
      <c r="Z14" s="21">
        <f>'JUNTA 1'!W14+'JUNTA 2'!W14+'JUNTA 3'!W14+'JUNTA 4'!W14+'JUNTA 5'!W14+'JUNTA 6'!W14+'JUNTA 7'!W14+'JUNTA 8'!W14+'AREA COLECTIVA Y E.H'!T13</f>
        <v>0</v>
      </c>
      <c r="AA14" s="21">
        <f>'JUNTA 1'!X14+'JUNTA 2'!X14+'JUNTA 3'!X14+'JUNTA 4'!X14+'JUNTA 5'!X14+'JUNTA 6'!X14+'JUNTA 7'!X14+'JUNTA 8'!X14</f>
        <v>0</v>
      </c>
      <c r="AB14" s="120">
        <f t="shared" si="0"/>
        <v>0</v>
      </c>
      <c r="AC14" s="4"/>
    </row>
    <row r="15" spans="1:30" ht="14.4">
      <c r="A15" s="24" t="s">
        <v>51</v>
      </c>
      <c r="B15" s="21">
        <f>SUM('JUNTA 1'!B15+'JUNTA 2'!B15+'JUNTA 3'!B15+'JUNTA 4'!B15+'JUNTA 5'!B15+'JUNTA 6'!B15+'JUNTA 7'!B15+'JUNTA 8'!B15)</f>
        <v>0</v>
      </c>
      <c r="C15" s="21">
        <f>SUM('JUNTA 1'!C15+'JUNTA 2'!C15+'JUNTA 3'!C15+'JUNTA 4'!C15+'JUNTA 5'!C15+'JUNTA 6'!C15+'JUNTA 7'!C15+'JUNTA 8'!C15)</f>
        <v>0</v>
      </c>
      <c r="D15" s="21">
        <f>SUM('JUNTA 1'!D15+'JUNTA 2'!D15+'JUNTA 3'!D15+'JUNTA 4'!D15+'JUNTA 5'!D15+'JUNTA 6'!D15+'JUNTA 7'!D15+'JUNTA 8'!D15)</f>
        <v>0</v>
      </c>
      <c r="E15" s="21">
        <f>SUM('JUNTA 1'!E15+'JUNTA 2'!E15+'JUNTA 3'!E15+'JUNTA 4'!E15+'JUNTA 5'!E15+'JUNTA 6'!E15+'JUNTA 7'!E15+'JUNTA 8'!E15)</f>
        <v>0</v>
      </c>
      <c r="F15" s="21">
        <f>SUM('JUNTA 1'!F15+'JUNTA 2'!F15+'JUNTA 3'!F15+'JUNTA 4'!F15+'JUNTA 5'!F15+'JUNTA 6'!F15+'JUNTA 7'!F15+'JUNTA 8'!F15)</f>
        <v>0</v>
      </c>
      <c r="G15" s="21">
        <f>SUM('JUNTA 1'!G15+'JUNTA 2'!G15+'JUNTA 3'!G15+'JUNTA 4'!G15+'JUNTA 5'!G15+'JUNTA 6'!G15+'JUNTA 7'!G15+'JUNTA 8'!G15)</f>
        <v>0</v>
      </c>
      <c r="H15" s="21">
        <f>'AREA COLECTIVA Y E.H'!F14</f>
        <v>0</v>
      </c>
      <c r="I15" s="21">
        <f>'JUNTA 1'!O15+'JUNTA 2'!O15+'JUNTA 3'!O15+'JUNTA 4'!O15+'JUNTA 5'!O15+'JUNTA 6'!O15+'JUNTA 7'!O15+'JUNTA 8'!O15+'AREA COLECTIVA Y E.H'!P14</f>
        <v>0</v>
      </c>
      <c r="J15" s="21">
        <f>SUM('JUNTA 1'!H15+'JUNTA 2'!H15+'JUNTA 3'!H15+'JUNTA 4'!H15+'JUNTA 5'!H15+'JUNTA 6'!H15+'JUNTA 7'!H15+'JUNTA 8'!H15)</f>
        <v>0</v>
      </c>
      <c r="K15" s="21">
        <f>SUM('JUNTA 1'!I15+'JUNTA 2'!I15+'JUNTA 3'!I15+'JUNTA 4'!I15+'JUNTA 5'!I15+'JUNTA 6'!I15+'JUNTA 7'!I15+'JUNTA 8'!I15)</f>
        <v>0</v>
      </c>
      <c r="L15" s="21">
        <f>'AREA COLECTIVA Y E.H'!N14</f>
        <v>0</v>
      </c>
      <c r="M15" s="25">
        <f>'JUNTA 1'!J15+'JUNTA 2'!J15+'JUNTA 3'!J15+'JUNTA 4'!J15+'JUNTA 5'!J15+'JUNTA 6'!J15+'JUNTA 7'!J15+'JUNTA 8'!J15+'AREA COLECTIVA Y E.H'!E14+'AREA COLECTIVA Y E.H'!C14</f>
        <v>0</v>
      </c>
      <c r="N15" s="21">
        <f>SUM('JUNTA 1'!K15+'JUNTA 2'!K15+'JUNTA 3'!K15+'JUNTA 4'!K15+'JUNTA 5'!K15+'JUNTA 6'!K15+'JUNTA 7'!K15+'JUNTA 8'!K15)</f>
        <v>0</v>
      </c>
      <c r="O15" s="21">
        <f>SUM('JUNTA 1'!L15+'JUNTA 2'!L15+'JUNTA 3'!L15+'JUNTA 4'!L15+'JUNTA 5'!L15+'JUNTA 6'!L15+'JUNTA 7'!L15+'JUNTA 8'!L15)</f>
        <v>0</v>
      </c>
      <c r="P15" s="21">
        <f>SUM('JUNTA 1'!M15+'JUNTA 2'!M15+'JUNTA 3'!M15+'JUNTA 4'!M15+'JUNTA 5'!M15+'JUNTA 6'!M15+'JUNTA 7'!M15+'JUNTA 8'!M15)</f>
        <v>0</v>
      </c>
      <c r="Q15" s="21">
        <f>'AREA COLECTIVA Y E.H'!D14</f>
        <v>0</v>
      </c>
      <c r="R15" s="21">
        <f>'JUNTA 1'!N15+'JUNTA 2'!N15+'JUNTA 3'!N15+'JUNTA 4'!N15+'JUNTA 5'!N15+'JUNTA 6'!N15+'JUNTA 7'!N15+'JUNTA 8'!N15+'AREA COLECTIVA Y E.H'!H14</f>
        <v>0</v>
      </c>
      <c r="S15" s="21">
        <f>'JUNTA 1'!P15+'JUNTA 2'!P15+'JUNTA 3'!P15+'JUNTA 4'!P15+'JUNTA 5'!P15+'JUNTA 6'!P15+'JUNTA 7'!P15+'JUNTA 8'!P15+'AREA COLECTIVA Y E.H'!R14</f>
        <v>0</v>
      </c>
      <c r="T15" s="21">
        <f>'JUNTA 1'!Q15+'JUNTA 2'!Q15+'JUNTA 3'!Q15+'JUNTA 4'!Q15+'JUNTA 5'!Q15+'JUNTA 6'!Q15+'JUNTA 7'!Q15+'JUNTA 8'!Q15</f>
        <v>0</v>
      </c>
      <c r="U15" s="21">
        <f>'JUNTA 1'!R15+'JUNTA 2'!R15+'JUNTA 3'!R15+'JUNTA 4'!R15+'JUNTA 5'!R15+'JUNTA 6'!R15+'JUNTA 7'!R15+'JUNTA 8'!R15+'AREA COLECTIVA Y E.H'!I15</f>
        <v>0</v>
      </c>
      <c r="V15" s="21">
        <f>'JUNTA 1'!S15+'JUNTA 2'!S15+'JUNTA 3'!S15+'JUNTA 4'!S15+'JUNTA 5'!S15+'JUNTA 6'!S15+'JUNTA 7'!S15+'JUNTA 8'!S15+'AREA COLECTIVA Y E.H'!U14</f>
        <v>0</v>
      </c>
      <c r="W15" s="21">
        <f>'JUNTA 1'!T15+'JUNTA 2'!T15+'JUNTA 3'!T15+'JUNTA 4'!T15+'JUNTA 5'!T15+'JUNTA 6'!T15+'JUNTA 7'!T15+'JUNTA 8'!T15</f>
        <v>0</v>
      </c>
      <c r="X15" s="21">
        <f>'JUNTA 1'!U15+'JUNTA 2'!U15+'JUNTA 3'!U15+'JUNTA 4'!U15+'JUNTA 5'!U15+'JUNTA 6'!U15+'JUNTA 7'!U15+'JUNTA 8'!U15</f>
        <v>0</v>
      </c>
      <c r="Y15" s="21">
        <f>'JUNTA 1'!V15+'JUNTA 2'!V15+'JUNTA 3'!V15+'JUNTA 4'!V15+'JUNTA 5'!V15+'JUNTA 6'!V15+'JUNTA 7'!V15+'JUNTA 8'!V15+'AREA COLECTIVA Y E.H'!Q14</f>
        <v>0</v>
      </c>
      <c r="Z15" s="21">
        <f>'JUNTA 1'!W15+'JUNTA 2'!W15+'JUNTA 3'!W15+'JUNTA 4'!W15+'JUNTA 5'!W15+'JUNTA 6'!W15+'JUNTA 7'!W15+'JUNTA 8'!W15+'AREA COLECTIVA Y E.H'!T14</f>
        <v>0</v>
      </c>
      <c r="AA15" s="21">
        <f>'JUNTA 1'!X15+'JUNTA 2'!X15+'JUNTA 3'!X15+'JUNTA 4'!X15+'JUNTA 5'!X15+'JUNTA 6'!X15+'JUNTA 7'!X15+'JUNTA 8'!X15</f>
        <v>0</v>
      </c>
      <c r="AB15" s="120">
        <f t="shared" si="0"/>
        <v>0</v>
      </c>
      <c r="AC15" s="4"/>
    </row>
    <row r="16" spans="1:30" ht="15.75" customHeight="1">
      <c r="A16" s="24" t="s">
        <v>52</v>
      </c>
      <c r="B16" s="21">
        <f>SUM('JUNTA 1'!B16+'JUNTA 2'!B16+'JUNTA 3'!B16+'JUNTA 4'!B16+'JUNTA 5'!B16+'JUNTA 6'!B16+'JUNTA 7'!B16+'JUNTA 8'!B16)</f>
        <v>0</v>
      </c>
      <c r="C16" s="21">
        <f>SUM('JUNTA 1'!C16+'JUNTA 2'!C16+'JUNTA 3'!C16+'JUNTA 4'!C16+'JUNTA 5'!C16+'JUNTA 6'!C16+'JUNTA 7'!C16+'JUNTA 8'!C16)</f>
        <v>0</v>
      </c>
      <c r="D16" s="21">
        <f>SUM('JUNTA 1'!D16+'JUNTA 2'!D16+'JUNTA 3'!D16+'JUNTA 4'!D16+'JUNTA 5'!D16+'JUNTA 6'!D16+'JUNTA 7'!D16+'JUNTA 8'!D16)</f>
        <v>0</v>
      </c>
      <c r="E16" s="21">
        <f>SUM('JUNTA 1'!E16+'JUNTA 2'!E16+'JUNTA 3'!E16+'JUNTA 4'!E16+'JUNTA 5'!E16+'JUNTA 6'!E16+'JUNTA 7'!E16+'JUNTA 8'!E16)</f>
        <v>0</v>
      </c>
      <c r="F16" s="21">
        <f>SUM('JUNTA 1'!F16+'JUNTA 2'!F16+'JUNTA 3'!F16+'JUNTA 4'!F16+'JUNTA 5'!F16+'JUNTA 6'!F16+'JUNTA 7'!F16+'JUNTA 8'!F16)</f>
        <v>0</v>
      </c>
      <c r="G16" s="21">
        <f>SUM('JUNTA 1'!G16+'JUNTA 2'!G16+'JUNTA 3'!G16+'JUNTA 4'!G16+'JUNTA 5'!G16+'JUNTA 6'!G16+'JUNTA 7'!G16+'JUNTA 8'!G16)</f>
        <v>0</v>
      </c>
      <c r="H16" s="21">
        <f>'AREA COLECTIVA Y E.H'!F15</f>
        <v>0</v>
      </c>
      <c r="I16" s="21">
        <f>'JUNTA 1'!O16+'JUNTA 2'!O16+'JUNTA 3'!O16+'JUNTA 4'!O16+'JUNTA 5'!O16+'JUNTA 6'!O16+'JUNTA 7'!O16+'JUNTA 8'!O16+'AREA COLECTIVA Y E.H'!P15</f>
        <v>0</v>
      </c>
      <c r="J16" s="21">
        <f>SUM('JUNTA 1'!H16+'JUNTA 2'!H16+'JUNTA 3'!H16+'JUNTA 4'!H16+'JUNTA 5'!H16+'JUNTA 6'!H16+'JUNTA 7'!H16+'JUNTA 8'!H16)</f>
        <v>0</v>
      </c>
      <c r="K16" s="21">
        <f>SUM('JUNTA 1'!I16+'JUNTA 2'!I16+'JUNTA 3'!I16+'JUNTA 4'!I16+'JUNTA 5'!I16+'JUNTA 6'!I16+'JUNTA 7'!I16+'JUNTA 8'!I16)</f>
        <v>0</v>
      </c>
      <c r="L16" s="21">
        <f>'AREA COLECTIVA Y E.H'!N15</f>
        <v>0</v>
      </c>
      <c r="M16" s="21">
        <f>SUM('JUNTA 1'!J16+'JUNTA 2'!J16+'JUNTA 3'!J16+'JUNTA 4'!J16+'JUNTA 5'!J16+'JUNTA 6'!J16+'JUNTA 7'!J16+'JUNTA 8'!J16+'AREA COLECTIVA Y E.H'!E15+'AREA COLECTIVA Y E.H'!C15)</f>
        <v>0</v>
      </c>
      <c r="N16" s="21">
        <f>SUM('JUNTA 1'!K16+'JUNTA 2'!K16+'JUNTA 3'!K16+'JUNTA 4'!K16+'JUNTA 5'!K16+'JUNTA 6'!K16+'JUNTA 7'!K16+'JUNTA 8'!K16)</f>
        <v>0</v>
      </c>
      <c r="O16" s="21">
        <f>SUM('JUNTA 1'!L16+'JUNTA 2'!L16+'JUNTA 3'!L16+'JUNTA 4'!L16+'JUNTA 5'!L16+'JUNTA 6'!L16+'JUNTA 7'!L16+'JUNTA 8'!L16)</f>
        <v>0</v>
      </c>
      <c r="P16" s="21">
        <f>SUM('JUNTA 1'!M16+'JUNTA 2'!M16+'JUNTA 3'!M16+'JUNTA 4'!M16+'JUNTA 5'!M16+'JUNTA 6'!M16+'JUNTA 7'!M16+'JUNTA 8'!M16)</f>
        <v>0</v>
      </c>
      <c r="Q16" s="21">
        <f>'AREA COLECTIVA Y E.H'!D15</f>
        <v>0</v>
      </c>
      <c r="R16" s="21">
        <f>'JUNTA 1'!N16+'JUNTA 2'!N16+'JUNTA 3'!N16+'JUNTA 4'!N16+'JUNTA 5'!N16+'JUNTA 6'!N16+'JUNTA 7'!N16+'JUNTA 8'!N16+'AREA COLECTIVA Y E.H'!H15</f>
        <v>0</v>
      </c>
      <c r="S16" s="21">
        <f>'JUNTA 1'!P16+'JUNTA 2'!P16+'JUNTA 3'!P16+'JUNTA 4'!P16+'JUNTA 5'!P16+'JUNTA 6'!P16+'JUNTA 7'!P16+'JUNTA 8'!P16+'AREA COLECTIVA Y E.H'!R15</f>
        <v>0</v>
      </c>
      <c r="T16" s="21">
        <f>'JUNTA 1'!Q16+'JUNTA 2'!Q16+'JUNTA 3'!Q16+'JUNTA 4'!Q16+'JUNTA 5'!Q16+'JUNTA 6'!Q16+'JUNTA 7'!Q16+'JUNTA 8'!Q16</f>
        <v>0</v>
      </c>
      <c r="U16" s="21">
        <f>'JUNTA 1'!R16+'JUNTA 2'!R16+'JUNTA 3'!R16+'JUNTA 4'!R16+'JUNTA 5'!R16+'JUNTA 6'!R16+'JUNTA 7'!R16+'JUNTA 8'!R16+'AREA COLECTIVA Y E.H'!I15</f>
        <v>0</v>
      </c>
      <c r="V16" s="21">
        <f>'JUNTA 1'!S16+'JUNTA 2'!S16+'JUNTA 3'!S16+'JUNTA 4'!S16+'JUNTA 5'!S16+'JUNTA 6'!S16+'JUNTA 7'!S16+'JUNTA 8'!S16+'AREA COLECTIVA Y E.H'!U15</f>
        <v>0</v>
      </c>
      <c r="W16" s="21">
        <f>'JUNTA 1'!T16+'JUNTA 2'!T16+'JUNTA 3'!T16+'JUNTA 4'!T16+'JUNTA 5'!T16+'JUNTA 6'!T16+'JUNTA 7'!T16+'JUNTA 8'!T16</f>
        <v>0</v>
      </c>
      <c r="X16" s="21">
        <f>'JUNTA 1'!U16+'JUNTA 2'!U16+'JUNTA 3'!U16+'JUNTA 4'!U16+'JUNTA 5'!U16+'JUNTA 6'!U16+'JUNTA 7'!U16+'JUNTA 8'!U16</f>
        <v>0</v>
      </c>
      <c r="Y16" s="21">
        <f>'JUNTA 1'!V16+'JUNTA 2'!V16+'JUNTA 3'!V16+'JUNTA 4'!V16+'JUNTA 5'!V16+'JUNTA 6'!V16+'JUNTA 7'!V16+'JUNTA 8'!V16+'AREA COLECTIVA Y E.H'!Q15</f>
        <v>0</v>
      </c>
      <c r="Z16" s="21">
        <f>'JUNTA 1'!W16+'JUNTA 2'!W16+'JUNTA 3'!W16+'JUNTA 4'!W16+'JUNTA 5'!W16+'JUNTA 6'!W16+'JUNTA 7'!W16+'JUNTA 8'!W16+'AREA COLECTIVA Y E.H'!T15</f>
        <v>0</v>
      </c>
      <c r="AA16" s="21">
        <f>'JUNTA 1'!X16+'JUNTA 2'!X16+'JUNTA 3'!X16+'JUNTA 4'!X16+'JUNTA 5'!X16+'JUNTA 6'!X16+'JUNTA 7'!X16+'JUNTA 8'!X16</f>
        <v>0</v>
      </c>
      <c r="AB16" s="120">
        <f t="shared" si="0"/>
        <v>0</v>
      </c>
      <c r="AC16" s="4"/>
    </row>
    <row r="17" spans="1:29" ht="15.75" customHeight="1">
      <c r="A17" s="24" t="s">
        <v>53</v>
      </c>
      <c r="B17" s="21">
        <f>SUM('JUNTA 1'!B17+'JUNTA 2'!B17+'JUNTA 3'!B17+'JUNTA 4'!B17+'JUNTA 5'!B17+'JUNTA 6'!B17+'JUNTA 7'!B17+'JUNTA 8'!B17)</f>
        <v>0</v>
      </c>
      <c r="C17" s="21">
        <f>SUM('JUNTA 1'!C17+'JUNTA 2'!C17+'JUNTA 3'!C17+'JUNTA 4'!C17+'JUNTA 5'!C17+'JUNTA 6'!C17+'JUNTA 7'!C17+'JUNTA 8'!C17)</f>
        <v>0</v>
      </c>
      <c r="D17" s="21">
        <f>SUM('JUNTA 1'!D17+'JUNTA 2'!D17+'JUNTA 3'!D17+'JUNTA 4'!D17+'JUNTA 5'!D17+'JUNTA 6'!D17+'JUNTA 7'!D17+'JUNTA 8'!D17)</f>
        <v>0</v>
      </c>
      <c r="E17" s="21">
        <f>SUM('JUNTA 1'!E17+'JUNTA 2'!E17+'JUNTA 3'!E17+'JUNTA 4'!E17+'JUNTA 5'!E17+'JUNTA 6'!E17+'JUNTA 7'!E17+'JUNTA 8'!E17)</f>
        <v>0</v>
      </c>
      <c r="F17" s="21">
        <f>SUM('JUNTA 1'!F17+'JUNTA 2'!F17+'JUNTA 3'!F17+'JUNTA 4'!F17+'JUNTA 5'!F17+'JUNTA 6'!F17+'JUNTA 7'!F17+'JUNTA 8'!F17)</f>
        <v>0</v>
      </c>
      <c r="G17" s="21">
        <f>SUM('JUNTA 1'!G17+'JUNTA 2'!G17+'JUNTA 3'!G17+'JUNTA 4'!G17+'JUNTA 5'!G17+'JUNTA 6'!G17+'JUNTA 7'!G17+'JUNTA 8'!G17)</f>
        <v>0</v>
      </c>
      <c r="H17" s="21">
        <f>'AREA COLECTIVA Y E.H'!F16</f>
        <v>0</v>
      </c>
      <c r="I17" s="21">
        <f>'JUNTA 1'!O17+'JUNTA 2'!O17+'JUNTA 3'!O17+'JUNTA 4'!O17+'JUNTA 5'!O17+'JUNTA 6'!O17+'JUNTA 7'!O17+'JUNTA 8'!O17+'AREA COLECTIVA Y E.H'!P16</f>
        <v>0</v>
      </c>
      <c r="J17" s="21">
        <f>SUM('JUNTA 1'!H17+'JUNTA 2'!H17+'JUNTA 3'!H17+'JUNTA 4'!H17+'JUNTA 5'!H17+'JUNTA 6'!H17+'JUNTA 7'!H17+'JUNTA 8'!H17)</f>
        <v>0</v>
      </c>
      <c r="K17" s="21">
        <f>SUM('JUNTA 1'!I17+'JUNTA 2'!I17+'JUNTA 3'!I17+'JUNTA 4'!I17+'JUNTA 5'!I17+'JUNTA 6'!I17+'JUNTA 7'!I17+'JUNTA 8'!I17)</f>
        <v>0</v>
      </c>
      <c r="L17" s="21">
        <f>'AREA COLECTIVA Y E.H'!N16</f>
        <v>0</v>
      </c>
      <c r="M17" s="21">
        <f>SUM('JUNTA 1'!J17+'JUNTA 2'!J17+'JUNTA 3'!J17+'JUNTA 4'!J17+'JUNTA 5'!J17+'JUNTA 6'!J17+'JUNTA 7'!J17+'JUNTA 8'!J17+'AREA COLECTIVA Y E.H'!E16+'AREA COLECTIVA Y E.H'!C16)</f>
        <v>0</v>
      </c>
      <c r="N17" s="21">
        <f>SUM('JUNTA 1'!K17+'JUNTA 2'!K17+'JUNTA 3'!K17+'JUNTA 4'!K17+'JUNTA 5'!K17+'JUNTA 6'!K17+'JUNTA 7'!K17+'JUNTA 8'!K17)</f>
        <v>0</v>
      </c>
      <c r="O17" s="21">
        <f>SUM('JUNTA 1'!L17+'JUNTA 2'!L17+'JUNTA 3'!L17+'JUNTA 4'!L17+'JUNTA 5'!L17+'JUNTA 6'!L17+'JUNTA 7'!L17+'JUNTA 8'!L17)</f>
        <v>0</v>
      </c>
      <c r="P17" s="21">
        <f>SUM('JUNTA 1'!M17+'JUNTA 2'!M17+'JUNTA 3'!M17+'JUNTA 4'!M17+'JUNTA 5'!M17+'JUNTA 6'!M17+'JUNTA 7'!M17+'JUNTA 8'!M17)</f>
        <v>0</v>
      </c>
      <c r="Q17" s="21">
        <f>'AREA COLECTIVA Y E.H'!D16</f>
        <v>0</v>
      </c>
      <c r="R17" s="21">
        <f>'JUNTA 1'!N17+'JUNTA 2'!N17+'JUNTA 3'!N17+'JUNTA 4'!N17+'JUNTA 5'!N17+'JUNTA 6'!N17+'JUNTA 7'!N17+'JUNTA 8'!N17+'AREA COLECTIVA Y E.H'!H16</f>
        <v>0</v>
      </c>
      <c r="S17" s="21">
        <f>'JUNTA 1'!P17+'JUNTA 2'!P17+'JUNTA 3'!P17+'JUNTA 4'!P17+'JUNTA 5'!P17+'JUNTA 6'!P17+'JUNTA 7'!P17+'JUNTA 8'!P17+'AREA COLECTIVA Y E.H'!R16</f>
        <v>0</v>
      </c>
      <c r="T17" s="21">
        <f>'JUNTA 1'!Q17+'JUNTA 2'!Q17+'JUNTA 3'!Q17+'JUNTA 4'!Q17+'JUNTA 5'!Q17+'JUNTA 6'!Q17+'JUNTA 7'!Q17+'JUNTA 8'!Q17</f>
        <v>0</v>
      </c>
      <c r="U17" s="21">
        <f>'JUNTA 1'!R17+'JUNTA 2'!R17+'JUNTA 3'!R17+'JUNTA 4'!R17+'JUNTA 5'!R17+'JUNTA 6'!R17+'JUNTA 7'!R17+'JUNTA 8'!R17+'AREA COLECTIVA Y E.H'!I16</f>
        <v>0</v>
      </c>
      <c r="V17" s="21">
        <f>'JUNTA 1'!S17+'JUNTA 2'!S17+'JUNTA 3'!S17+'JUNTA 4'!S17+'JUNTA 5'!S17+'JUNTA 6'!S17+'JUNTA 7'!S17+'JUNTA 8'!S17+'AREA COLECTIVA Y E.H'!U16</f>
        <v>0</v>
      </c>
      <c r="W17" s="21">
        <f>'JUNTA 1'!T17+'JUNTA 2'!T17+'JUNTA 3'!T17+'JUNTA 4'!T17+'JUNTA 5'!T17+'JUNTA 6'!T17+'JUNTA 7'!T17+'JUNTA 8'!T17</f>
        <v>0</v>
      </c>
      <c r="X17" s="21">
        <f>'JUNTA 1'!U17+'JUNTA 2'!U17+'JUNTA 3'!U17+'JUNTA 4'!U17+'JUNTA 5'!U17+'JUNTA 6'!U17+'JUNTA 7'!U17+'JUNTA 8'!U17</f>
        <v>0</v>
      </c>
      <c r="Y17" s="21">
        <f>'JUNTA 1'!V17+'JUNTA 2'!V17+'JUNTA 3'!V17+'JUNTA 4'!V17+'JUNTA 5'!V17+'JUNTA 6'!V17+'JUNTA 7'!V17+'JUNTA 8'!V17+'AREA COLECTIVA Y E.H'!Q16</f>
        <v>0</v>
      </c>
      <c r="Z17" s="21">
        <f>'JUNTA 1'!W17+'JUNTA 2'!W17+'JUNTA 3'!W17+'JUNTA 4'!W17+'JUNTA 5'!W17+'JUNTA 6'!W17+'JUNTA 7'!W17+'JUNTA 8'!W17+'AREA COLECTIVA Y E.H'!T16</f>
        <v>0</v>
      </c>
      <c r="AA17" s="21">
        <f>'JUNTA 1'!X17+'JUNTA 2'!X17+'JUNTA 3'!X17+'JUNTA 4'!X17+'JUNTA 5'!X17+'JUNTA 6'!X17+'JUNTA 7'!X17+'JUNTA 8'!X17</f>
        <v>0</v>
      </c>
      <c r="AB17" s="120">
        <f t="shared" si="0"/>
        <v>0</v>
      </c>
      <c r="AC17" s="4"/>
    </row>
    <row r="18" spans="1:29" ht="15.75" customHeight="1">
      <c r="A18" s="24" t="s">
        <v>54</v>
      </c>
      <c r="B18" s="21">
        <f>SUM('JUNTA 1'!B18+'JUNTA 2'!B18+'JUNTA 3'!B18+'JUNTA 4'!B18+'JUNTA 5'!B18+'JUNTA 6'!B18+'JUNTA 7'!B18+'JUNTA 8'!B18)</f>
        <v>0</v>
      </c>
      <c r="C18" s="21">
        <f>SUM('JUNTA 1'!C18+'JUNTA 2'!C18+'JUNTA 3'!C18+'JUNTA 4'!C18+'JUNTA 5'!C18+'JUNTA 6'!C18+'JUNTA 7'!C18+'JUNTA 8'!C18)</f>
        <v>0</v>
      </c>
      <c r="D18" s="21">
        <f>SUM('JUNTA 1'!D18+'JUNTA 2'!D18+'JUNTA 3'!D18+'JUNTA 4'!D18+'JUNTA 5'!D18+'JUNTA 6'!D18+'JUNTA 7'!D18+'JUNTA 8'!D18)</f>
        <v>0</v>
      </c>
      <c r="E18" s="21">
        <f>SUM('JUNTA 1'!E18+'JUNTA 2'!E18+'JUNTA 3'!E18+'JUNTA 4'!E18+'JUNTA 5'!E18+'JUNTA 6'!E18+'JUNTA 7'!E18+'JUNTA 8'!E18)</f>
        <v>0</v>
      </c>
      <c r="F18" s="21">
        <f>SUM('JUNTA 1'!F18+'JUNTA 2'!F18+'JUNTA 3'!F18+'JUNTA 4'!F18+'JUNTA 5'!F18+'JUNTA 6'!F18+'JUNTA 7'!F18+'JUNTA 8'!F18)</f>
        <v>0</v>
      </c>
      <c r="G18" s="21">
        <f>SUM('JUNTA 1'!G18+'JUNTA 2'!G18+'JUNTA 3'!G18+'JUNTA 4'!G18+'JUNTA 5'!G18+'JUNTA 6'!G18+'JUNTA 7'!G18+'JUNTA 8'!G18)</f>
        <v>0</v>
      </c>
      <c r="H18" s="21">
        <f>'AREA COLECTIVA Y E.H'!F17</f>
        <v>0</v>
      </c>
      <c r="I18" s="21">
        <f>'JUNTA 1'!O18+'JUNTA 2'!O18+'JUNTA 3'!O18+'JUNTA 4'!O18+'JUNTA 5'!O18+'JUNTA 6'!O18+'JUNTA 7'!O18+'JUNTA 8'!O18+'AREA COLECTIVA Y E.H'!P17</f>
        <v>0</v>
      </c>
      <c r="J18" s="21">
        <f>SUM('JUNTA 1'!H18+'JUNTA 2'!H18+'JUNTA 3'!H18+'JUNTA 4'!H18+'JUNTA 5'!H18+'JUNTA 6'!H18+'JUNTA 7'!H18+'JUNTA 8'!H18)</f>
        <v>0</v>
      </c>
      <c r="K18" s="21">
        <f>SUM('JUNTA 1'!I18+'JUNTA 2'!I18+'JUNTA 3'!I18+'JUNTA 4'!I18+'JUNTA 5'!I18+'JUNTA 6'!I18+'JUNTA 7'!I18+'JUNTA 8'!I18)</f>
        <v>0</v>
      </c>
      <c r="L18" s="21">
        <f>'AREA COLECTIVA Y E.H'!N17</f>
        <v>0</v>
      </c>
      <c r="M18" s="21">
        <f>SUM('JUNTA 1'!J18+'JUNTA 2'!J18+'JUNTA 3'!J18+'JUNTA 4'!J18+'JUNTA 5'!J18+'JUNTA 6'!J18+'JUNTA 7'!J18+'JUNTA 8'!J18+'AREA COLECTIVA Y E.H'!E17+'AREA COLECTIVA Y E.H'!C17)</f>
        <v>0</v>
      </c>
      <c r="N18" s="21">
        <f>SUM('JUNTA 1'!K18+'JUNTA 2'!K18+'JUNTA 3'!K18+'JUNTA 4'!K18+'JUNTA 5'!K18+'JUNTA 6'!K18+'JUNTA 7'!K18+'JUNTA 8'!K18)</f>
        <v>0</v>
      </c>
      <c r="O18" s="21">
        <f>SUM('JUNTA 1'!L18+'JUNTA 2'!L18+'JUNTA 3'!L18+'JUNTA 4'!L18+'JUNTA 5'!L18+'JUNTA 6'!L18+'JUNTA 7'!L18+'JUNTA 8'!L18)</f>
        <v>0</v>
      </c>
      <c r="P18" s="21">
        <f>SUM('JUNTA 1'!M18+'JUNTA 2'!M18+'JUNTA 3'!M18+'JUNTA 4'!M18+'JUNTA 5'!M18+'JUNTA 6'!M18+'JUNTA 7'!M18+'JUNTA 8'!M18)</f>
        <v>0</v>
      </c>
      <c r="Q18" s="21">
        <f>'AREA COLECTIVA Y E.H'!D17</f>
        <v>0</v>
      </c>
      <c r="R18" s="21">
        <f>'JUNTA 1'!N18+'JUNTA 2'!N18+'JUNTA 3'!N18+'JUNTA 4'!N18+'JUNTA 5'!N18+'JUNTA 6'!N18+'JUNTA 7'!N18+'JUNTA 8'!N18+'AREA COLECTIVA Y E.H'!H17</f>
        <v>0</v>
      </c>
      <c r="S18" s="21">
        <f>'JUNTA 1'!P18+'JUNTA 2'!P18+'JUNTA 3'!P18+'JUNTA 4'!P18+'JUNTA 5'!P18+'JUNTA 6'!P18+'JUNTA 7'!P18+'JUNTA 8'!P18+'AREA COLECTIVA Y E.H'!R17</f>
        <v>0</v>
      </c>
      <c r="T18" s="21">
        <f>'JUNTA 1'!Q18+'JUNTA 2'!Q18+'JUNTA 3'!Q18+'JUNTA 4'!Q18+'JUNTA 5'!Q18+'JUNTA 6'!Q18+'JUNTA 7'!Q18+'JUNTA 8'!Q18</f>
        <v>0</v>
      </c>
      <c r="U18" s="21">
        <f>'JUNTA 1'!R18+'JUNTA 2'!R18+'JUNTA 3'!R18+'JUNTA 4'!R18+'JUNTA 5'!R18+'JUNTA 6'!R18+'JUNTA 7'!R18+'JUNTA 8'!R18+'AREA COLECTIVA Y E.H'!I17</f>
        <v>0</v>
      </c>
      <c r="V18" s="21">
        <f>'JUNTA 1'!S18+'JUNTA 2'!S18+'JUNTA 3'!S18+'JUNTA 4'!S18+'JUNTA 5'!S18+'JUNTA 6'!S18+'JUNTA 7'!S18+'JUNTA 8'!S18+'AREA COLECTIVA Y E.H'!U17</f>
        <v>0</v>
      </c>
      <c r="W18" s="21">
        <f>'JUNTA 1'!T18+'JUNTA 2'!T18+'JUNTA 3'!T18+'JUNTA 4'!T18+'JUNTA 5'!T18+'JUNTA 6'!T18+'JUNTA 7'!T18+'JUNTA 8'!T18</f>
        <v>0</v>
      </c>
      <c r="X18" s="21">
        <f>'JUNTA 1'!U18+'JUNTA 2'!U18+'JUNTA 3'!U18+'JUNTA 4'!U18+'JUNTA 5'!U18+'JUNTA 6'!U18+'JUNTA 7'!U18+'JUNTA 8'!U18</f>
        <v>0</v>
      </c>
      <c r="Y18" s="21">
        <f>'JUNTA 1'!V18+'JUNTA 2'!V18+'JUNTA 3'!V18+'JUNTA 4'!V18+'JUNTA 5'!V18+'JUNTA 6'!V18+'JUNTA 7'!V18+'JUNTA 8'!V18+'AREA COLECTIVA Y E.H'!Q17</f>
        <v>0</v>
      </c>
      <c r="Z18" s="21">
        <f>'JUNTA 1'!W18+'JUNTA 2'!W18+'JUNTA 3'!W18+'JUNTA 4'!W18+'JUNTA 5'!W18+'JUNTA 6'!W18+'JUNTA 7'!W18+'JUNTA 8'!W18+'AREA COLECTIVA Y E.H'!T17</f>
        <v>0</v>
      </c>
      <c r="AA18" s="21">
        <f>'JUNTA 1'!X18+'JUNTA 2'!X18+'JUNTA 3'!X18+'JUNTA 4'!X18+'JUNTA 5'!X18+'JUNTA 6'!X18+'JUNTA 7'!X18+'JUNTA 8'!X18</f>
        <v>0</v>
      </c>
      <c r="AB18" s="120">
        <f t="shared" si="0"/>
        <v>0</v>
      </c>
      <c r="AC18" s="4"/>
    </row>
    <row r="19" spans="1:29" ht="15.75" customHeight="1">
      <c r="A19" s="24" t="s">
        <v>55</v>
      </c>
      <c r="B19" s="21">
        <f>SUM('JUNTA 1'!B19+'JUNTA 2'!B19+'JUNTA 3'!B19+'JUNTA 4'!B19+'JUNTA 5'!B19+'JUNTA 6'!B19+'JUNTA 7'!B19+'JUNTA 8'!B19)</f>
        <v>0</v>
      </c>
      <c r="C19" s="21">
        <f>SUM('JUNTA 1'!C19+'JUNTA 2'!C19+'JUNTA 3'!C19+'JUNTA 4'!C19+'JUNTA 5'!C19+'JUNTA 6'!C19+'JUNTA 7'!C19+'JUNTA 8'!C19)</f>
        <v>0</v>
      </c>
      <c r="D19" s="21">
        <f>SUM('JUNTA 1'!D19+'JUNTA 2'!D19+'JUNTA 3'!D19+'JUNTA 4'!D19+'JUNTA 5'!D19+'JUNTA 6'!D19+'JUNTA 7'!D19+'JUNTA 8'!D19)</f>
        <v>0</v>
      </c>
      <c r="E19" s="21">
        <f>SUM('JUNTA 1'!E19+'JUNTA 2'!E19+'JUNTA 3'!E19+'JUNTA 4'!E19+'JUNTA 5'!E19+'JUNTA 6'!E19+'JUNTA 7'!E19+'JUNTA 8'!E19)</f>
        <v>0</v>
      </c>
      <c r="F19" s="21">
        <f>SUM('JUNTA 1'!F19+'JUNTA 2'!F19+'JUNTA 3'!F19+'JUNTA 4'!F19+'JUNTA 5'!F19+'JUNTA 6'!F19+'JUNTA 7'!F19+'JUNTA 8'!F19)</f>
        <v>0</v>
      </c>
      <c r="G19" s="21">
        <f>SUM('JUNTA 1'!G19+'JUNTA 2'!G19+'JUNTA 3'!G19+'JUNTA 4'!G19+'JUNTA 5'!G19+'JUNTA 6'!G19+'JUNTA 7'!G19+'JUNTA 8'!G19)</f>
        <v>0</v>
      </c>
      <c r="H19" s="21">
        <f>'AREA COLECTIVA Y E.H'!F18</f>
        <v>0</v>
      </c>
      <c r="I19" s="21">
        <f>'JUNTA 1'!O19+'JUNTA 2'!O19+'JUNTA 3'!O19+'JUNTA 4'!O19+'JUNTA 5'!O19+'JUNTA 6'!O19+'JUNTA 7'!O19+'JUNTA 8'!O19+'AREA COLECTIVA Y E.H'!P18</f>
        <v>0</v>
      </c>
      <c r="J19" s="21">
        <f>SUM('JUNTA 1'!H19+'JUNTA 2'!H19+'JUNTA 3'!H19+'JUNTA 4'!H19+'JUNTA 5'!H19+'JUNTA 6'!H19+'JUNTA 7'!H19+'JUNTA 8'!H19)</f>
        <v>0</v>
      </c>
      <c r="K19" s="21">
        <f>SUM('JUNTA 1'!I19+'JUNTA 2'!I19+'JUNTA 3'!I19+'JUNTA 4'!I19+'JUNTA 5'!I19+'JUNTA 6'!I19+'JUNTA 7'!I19+'JUNTA 8'!I19)</f>
        <v>0</v>
      </c>
      <c r="L19" s="21">
        <f>'AREA COLECTIVA Y E.H'!N18</f>
        <v>0</v>
      </c>
      <c r="M19" s="21">
        <f>SUM('JUNTA 1'!J19+'JUNTA 2'!J19+'JUNTA 3'!J19+'JUNTA 4'!J19+'JUNTA 5'!J19+'JUNTA 6'!J19+'JUNTA 7'!J19+'JUNTA 8'!J19+'AREA COLECTIVA Y E.H'!E18+'AREA COLECTIVA Y E.H'!C18)</f>
        <v>0</v>
      </c>
      <c r="N19" s="21">
        <f>SUM('JUNTA 1'!K19+'JUNTA 2'!K19+'JUNTA 3'!K19+'JUNTA 4'!K19+'JUNTA 5'!K19+'JUNTA 6'!K19+'JUNTA 7'!K19+'JUNTA 8'!K19)</f>
        <v>0</v>
      </c>
      <c r="O19" s="21">
        <f>SUM('JUNTA 1'!L19+'JUNTA 2'!L19+'JUNTA 3'!L19+'JUNTA 4'!L19+'JUNTA 5'!L19+'JUNTA 6'!L19+'JUNTA 7'!L19+'JUNTA 8'!L19)</f>
        <v>0</v>
      </c>
      <c r="P19" s="21">
        <f>SUM('JUNTA 1'!M19+'JUNTA 2'!M19+'JUNTA 3'!M19+'JUNTA 4'!M19+'JUNTA 5'!M19+'JUNTA 6'!M19+'JUNTA 7'!M19+'JUNTA 8'!M19)</f>
        <v>0</v>
      </c>
      <c r="Q19" s="21">
        <f>'AREA COLECTIVA Y E.H'!D18</f>
        <v>0</v>
      </c>
      <c r="R19" s="21">
        <f>'JUNTA 1'!N19+'JUNTA 2'!N19+'JUNTA 3'!N19+'JUNTA 4'!N19+'JUNTA 5'!N19+'JUNTA 6'!N19+'JUNTA 7'!N19+'JUNTA 8'!N19+'AREA COLECTIVA Y E.H'!H18</f>
        <v>0</v>
      </c>
      <c r="S19" s="21">
        <f>'JUNTA 1'!P19+'JUNTA 2'!P19+'JUNTA 3'!P19+'JUNTA 4'!P19+'JUNTA 5'!P19+'JUNTA 6'!P19+'JUNTA 7'!P19+'JUNTA 8'!P19+'AREA COLECTIVA Y E.H'!R18</f>
        <v>0</v>
      </c>
      <c r="T19" s="21">
        <f>'JUNTA 1'!Q19+'JUNTA 2'!Q19+'JUNTA 3'!Q19+'JUNTA 4'!Q19+'JUNTA 5'!Q19+'JUNTA 6'!Q19+'JUNTA 7'!Q19+'JUNTA 8'!Q19</f>
        <v>0</v>
      </c>
      <c r="U19" s="21">
        <f>'JUNTA 1'!R19+'JUNTA 2'!R19+'JUNTA 3'!R19+'JUNTA 4'!R19+'JUNTA 5'!R19+'JUNTA 6'!R19+'JUNTA 7'!R19+'JUNTA 8'!R19+'AREA COLECTIVA Y E.H'!I18</f>
        <v>0</v>
      </c>
      <c r="V19" s="21">
        <f>'JUNTA 1'!S19+'JUNTA 2'!S19+'JUNTA 3'!S19+'JUNTA 4'!S19+'JUNTA 5'!S19+'JUNTA 6'!S19+'JUNTA 7'!S19+'JUNTA 8'!S19+'AREA COLECTIVA Y E.H'!U18</f>
        <v>0</v>
      </c>
      <c r="W19" s="21">
        <f>'JUNTA 1'!T19+'JUNTA 2'!T19+'JUNTA 3'!T19+'JUNTA 4'!T19+'JUNTA 5'!T19+'JUNTA 6'!T19+'JUNTA 7'!T19+'JUNTA 8'!T19</f>
        <v>0</v>
      </c>
      <c r="X19" s="21">
        <f>'JUNTA 1'!U19+'JUNTA 2'!U19+'JUNTA 3'!U19+'JUNTA 4'!U19+'JUNTA 5'!U19+'JUNTA 6'!U19+'JUNTA 7'!U19+'JUNTA 8'!U19</f>
        <v>0</v>
      </c>
      <c r="Y19" s="21">
        <f>'JUNTA 1'!V19+'JUNTA 2'!V19+'JUNTA 3'!V19+'JUNTA 4'!V19+'JUNTA 5'!V19+'JUNTA 6'!V19+'JUNTA 7'!V19+'JUNTA 8'!V19+'AREA COLECTIVA Y E.H'!Q18</f>
        <v>0</v>
      </c>
      <c r="Z19" s="21">
        <f>'JUNTA 1'!W19+'JUNTA 2'!W19+'JUNTA 3'!W19+'JUNTA 4'!W19+'JUNTA 5'!W19+'JUNTA 6'!W19+'JUNTA 7'!W19+'JUNTA 8'!W19+'AREA COLECTIVA Y E.H'!T18</f>
        <v>0</v>
      </c>
      <c r="AA19" s="21">
        <f>'JUNTA 1'!X19+'JUNTA 2'!X19+'JUNTA 3'!X19+'JUNTA 4'!X19+'JUNTA 5'!X19+'JUNTA 6'!X19+'JUNTA 7'!X19+'JUNTA 8'!X19</f>
        <v>0</v>
      </c>
      <c r="AB19" s="120">
        <f t="shared" si="0"/>
        <v>0</v>
      </c>
      <c r="AC19" s="4"/>
    </row>
    <row r="20" spans="1:29" ht="15.75" customHeight="1">
      <c r="A20" s="24" t="s">
        <v>56</v>
      </c>
      <c r="B20" s="21">
        <f>SUM('JUNTA 1'!B20+'JUNTA 2'!B20+'JUNTA 3'!B20+'JUNTA 4'!B20+'JUNTA 5'!B20+'JUNTA 6'!B20+'JUNTA 7'!B20+'JUNTA 8'!B20)</f>
        <v>0</v>
      </c>
      <c r="C20" s="21">
        <f>SUM('JUNTA 1'!C20+'JUNTA 2'!C20+'JUNTA 3'!C20+'JUNTA 4'!C20+'JUNTA 5'!C20+'JUNTA 6'!C20+'JUNTA 7'!C20+'JUNTA 8'!C20)</f>
        <v>0</v>
      </c>
      <c r="D20" s="21">
        <f>SUM('JUNTA 1'!D20+'JUNTA 2'!D20+'JUNTA 3'!D20+'JUNTA 4'!D20+'JUNTA 5'!D20+'JUNTA 6'!D20+'JUNTA 7'!D20+'JUNTA 8'!D20)</f>
        <v>0</v>
      </c>
      <c r="E20" s="21">
        <f>SUM('JUNTA 1'!E20+'JUNTA 2'!E20+'JUNTA 3'!E20+'JUNTA 4'!E20+'JUNTA 5'!E20+'JUNTA 6'!E20+'JUNTA 7'!E20+'JUNTA 8'!E20)</f>
        <v>0</v>
      </c>
      <c r="F20" s="21">
        <f>SUM('JUNTA 1'!F20+'JUNTA 2'!F20+'JUNTA 3'!F20+'JUNTA 4'!F20+'JUNTA 5'!F20+'JUNTA 6'!F20+'JUNTA 7'!F20+'JUNTA 8'!F20)</f>
        <v>0</v>
      </c>
      <c r="G20" s="21">
        <f>SUM('JUNTA 1'!G20+'JUNTA 2'!G20+'JUNTA 3'!G20+'JUNTA 4'!G20+'JUNTA 5'!G20+'JUNTA 6'!G20+'JUNTA 7'!G20+'JUNTA 8'!G20)</f>
        <v>0</v>
      </c>
      <c r="H20" s="21">
        <f>'AREA COLECTIVA Y E.H'!F19</f>
        <v>0</v>
      </c>
      <c r="I20" s="21">
        <f>'JUNTA 1'!O20+'JUNTA 2'!O20+'JUNTA 3'!O20+'JUNTA 4'!O20+'JUNTA 5'!O20+'JUNTA 6'!O20+'JUNTA 7'!O20+'JUNTA 8'!O20+'AREA COLECTIVA Y E.H'!P19</f>
        <v>0</v>
      </c>
      <c r="J20" s="21">
        <f>SUM('JUNTA 1'!H20+'JUNTA 2'!H20+'JUNTA 3'!H20+'JUNTA 4'!H20+'JUNTA 5'!H20+'JUNTA 6'!H20+'JUNTA 8'!H20+'JUNTA 8'!H20)</f>
        <v>0</v>
      </c>
      <c r="K20" s="21">
        <f>SUM('JUNTA 1'!I20+'JUNTA 2'!I20+'JUNTA 3'!I20+'JUNTA 4'!I20+'JUNTA 5'!I20+'JUNTA 6'!I20+'JUNTA 8'!I20+'JUNTA 8'!I20)</f>
        <v>0</v>
      </c>
      <c r="L20" s="21">
        <f>'AREA COLECTIVA Y E.H'!N19</f>
        <v>0</v>
      </c>
      <c r="M20" s="21">
        <f>SUM('JUNTA 1'!J20+'JUNTA 2'!J20+'JUNTA 3'!J20+'JUNTA 4'!J20+'JUNTA 5'!J20+'JUNTA 6'!J20+'JUNTA 8'!J20+'JUNTA 8'!J20+'AREA COLECTIVA Y E.H'!E19+'AREA COLECTIVA Y E.H'!C19)</f>
        <v>0</v>
      </c>
      <c r="N20" s="21">
        <f>SUM('JUNTA 1'!K20+'JUNTA 2'!K20+'JUNTA 3'!K20+'JUNTA 4'!K20+'JUNTA 5'!K20+'JUNTA 6'!K20+'JUNTA 8'!K20+'JUNTA 8'!K20)</f>
        <v>0</v>
      </c>
      <c r="O20" s="21">
        <f>SUM('JUNTA 1'!L20+'JUNTA 2'!L20+'JUNTA 3'!L20+'JUNTA 4'!L20+'JUNTA 5'!L20+'JUNTA 6'!L20+'JUNTA 8'!L20+'JUNTA 8'!L20)</f>
        <v>0</v>
      </c>
      <c r="P20" s="21">
        <f>SUM('JUNTA 1'!M20+'JUNTA 2'!M20+'JUNTA 3'!M20+'JUNTA 4'!M20+'JUNTA 5'!M20+'JUNTA 6'!M20+'JUNTA 8'!M20+'JUNTA 8'!M20)</f>
        <v>0</v>
      </c>
      <c r="Q20" s="21">
        <f>'AREA COLECTIVA Y E.H'!D19</f>
        <v>0</v>
      </c>
      <c r="R20" s="21">
        <f>'JUNTA 1'!N20+'JUNTA 2'!N20+'JUNTA 3'!N20+'JUNTA 4'!N20+'JUNTA 5'!N20+'JUNTA 6'!N20+'JUNTA 8'!N20+'JUNTA 8'!N20+'AREA COLECTIVA Y E.H'!H19</f>
        <v>0</v>
      </c>
      <c r="S20" s="21">
        <f>'JUNTA 1'!P20+'JUNTA 2'!P20+'JUNTA 3'!P20+'JUNTA 4'!P20+'JUNTA 5'!P20+'JUNTA 6'!P20+'JUNTA 8'!P20+'JUNTA 8'!P20+'AREA COLECTIVA Y E.H'!R19</f>
        <v>0</v>
      </c>
      <c r="T20" s="21">
        <f>'JUNTA 1'!Q20+'JUNTA 2'!Q20+'JUNTA 3'!Q20+'JUNTA 4'!Q20+'JUNTA 5'!Q20+'JUNTA 6'!Q20+'JUNTA 8'!Q20+'JUNTA 8'!Q20</f>
        <v>0</v>
      </c>
      <c r="U20" s="21">
        <f>'JUNTA 1'!R20+'JUNTA 2'!R20+'JUNTA 3'!R20+'JUNTA 4'!R20+'JUNTA 5'!R20+'JUNTA 6'!R20+'JUNTA 8'!R20+'JUNTA 8'!R20+'AREA COLECTIVA Y E.H'!I19</f>
        <v>0</v>
      </c>
      <c r="V20" s="21">
        <f>'JUNTA 1'!S20+'JUNTA 2'!S20+'JUNTA 3'!S20+'JUNTA 4'!S20+'JUNTA 5'!S20+'JUNTA 6'!S20+'JUNTA 7'!S20+'JUNTA 8'!S20+'AREA COLECTIVA Y E.H'!U19</f>
        <v>0</v>
      </c>
      <c r="W20" s="21">
        <f>'JUNTA 1'!T20+'JUNTA 2'!T20+'JUNTA 3'!T20+'JUNTA 4'!T20+'JUNTA 5'!T20+'JUNTA 6'!T20+'JUNTA 8'!T20+'JUNTA 8'!T20</f>
        <v>0</v>
      </c>
      <c r="X20" s="21">
        <f>'JUNTA 1'!U20+'JUNTA 2'!U20+'JUNTA 3'!U20+'JUNTA 4'!U20+'JUNTA 5'!U20+'JUNTA 6'!U20+'JUNTA 8'!U20+'JUNTA 8'!U20</f>
        <v>0</v>
      </c>
      <c r="Y20" s="21">
        <f>'JUNTA 1'!V20+'JUNTA 2'!V20+'JUNTA 3'!V20+'JUNTA 4'!V20+'JUNTA 5'!V20+'JUNTA 6'!V20+'JUNTA 8'!V20+'JUNTA 8'!V20+'AREA COLECTIVA Y E.H'!Q19</f>
        <v>0</v>
      </c>
      <c r="Z20" s="21">
        <f>'JUNTA 1'!W20+'JUNTA 2'!W20+'JUNTA 3'!W20+'JUNTA 4'!W20+'JUNTA 5'!W20+'JUNTA 6'!W20+'JUNTA 8'!W20+'JUNTA 8'!W20+'AREA COLECTIVA Y E.H'!T18</f>
        <v>0</v>
      </c>
      <c r="AA20" s="21">
        <f>'JUNTA 1'!X20+'JUNTA 2'!X20+'JUNTA 3'!X20+'JUNTA 4'!X20+'JUNTA 5'!X20+'JUNTA 6'!X20+'JUNTA 8'!X20+'JUNTA 8'!X20</f>
        <v>0</v>
      </c>
      <c r="AB20" s="120">
        <f t="shared" si="0"/>
        <v>0</v>
      </c>
      <c r="AC20" s="4"/>
    </row>
    <row r="21" spans="1:29" ht="15.75" customHeight="1">
      <c r="A21" s="24" t="s">
        <v>57</v>
      </c>
      <c r="B21" s="21">
        <f>SUM('JUNTA 1'!B21+'JUNTA 2'!B21+'JUNTA 3'!B21+'JUNTA 4'!B21+'JUNTA 5'!B21+'JUNTA 6'!B21+'JUNTA 7'!B21+'JUNTA 8'!B21)</f>
        <v>0</v>
      </c>
      <c r="C21" s="21">
        <f>SUM('JUNTA 1'!C21+'JUNTA 2'!C21+'JUNTA 3'!C21+'JUNTA 4'!C21+'JUNTA 5'!C21+'JUNTA 6'!C21+'JUNTA 7'!C21+'JUNTA 8'!C21)</f>
        <v>0</v>
      </c>
      <c r="D21" s="21">
        <f>SUM('JUNTA 1'!D21+'JUNTA 2'!D21+'JUNTA 3'!D21+'JUNTA 4'!D21+'JUNTA 5'!D21+'JUNTA 6'!D21+'JUNTA 7'!D21+'JUNTA 8'!D21)</f>
        <v>0</v>
      </c>
      <c r="E21" s="21">
        <f>SUM('JUNTA 1'!E21+'JUNTA 2'!E21+'JUNTA 3'!E21+'JUNTA 4'!E21+'JUNTA 5'!E21+'JUNTA 6'!E21+'JUNTA 7'!E21+'JUNTA 8'!E21)</f>
        <v>0</v>
      </c>
      <c r="F21" s="21">
        <f>SUM('JUNTA 1'!F21+'JUNTA 2'!F21+'JUNTA 3'!F21+'JUNTA 4'!F21+'JUNTA 5'!F21+'JUNTA 6'!F21+'JUNTA 7'!F21+'JUNTA 8'!F21)</f>
        <v>0</v>
      </c>
      <c r="G21" s="21">
        <f>SUM('JUNTA 1'!G21+'JUNTA 2'!G21+'JUNTA 3'!G21+'JUNTA 4'!G21+'JUNTA 5'!G21+'JUNTA 6'!G21+'JUNTA 7'!G21+'JUNTA 8'!G21)</f>
        <v>0</v>
      </c>
      <c r="H21" s="21">
        <f>'AREA COLECTIVA Y E.H'!F20</f>
        <v>0</v>
      </c>
      <c r="I21" s="21">
        <f>'JUNTA 1'!O21+'JUNTA 2'!O21+'JUNTA 3'!O21+'JUNTA 4'!O21+'JUNTA 5'!O21+'JUNTA 6'!O21+'JUNTA 7'!O21+'JUNTA 8'!O21+'AREA COLECTIVA Y E.H'!P20</f>
        <v>0</v>
      </c>
      <c r="J21" s="21">
        <f>SUM('JUNTA 1'!H21+'JUNTA 2'!H21+'JUNTA 3'!H21+'JUNTA 4'!H21+'JUNTA 5'!H21+'JUNTA 6'!H21+'JUNTA 7'!H21+'JUNTA 8'!H21)</f>
        <v>0</v>
      </c>
      <c r="K21" s="21">
        <f>SUM('JUNTA 1'!I21+'JUNTA 2'!I21+'JUNTA 3'!I21+'JUNTA 4'!I21+'JUNTA 5'!I21+'JUNTA 6'!I21+'JUNTA 7'!I21+'JUNTA 8'!I21)</f>
        <v>0</v>
      </c>
      <c r="L21" s="21">
        <f>'AREA COLECTIVA Y E.H'!N20</f>
        <v>0</v>
      </c>
      <c r="M21" s="22">
        <f>SUM('JUNTA 1'!J21+'JUNTA 2'!J21+'JUNTA 3'!J21+'JUNTA 4'!J21+'JUNTA 5'!J21+'JUNTA 6'!J21+'JUNTA 7'!J21+'JUNTA 8'!J21+'AREA COLECTIVA Y E.H'!E20+'AREA COLECTIVA Y E.H'!C20)</f>
        <v>0</v>
      </c>
      <c r="N21" s="22">
        <f>SUM('JUNTA 1'!K21+'JUNTA 2'!K21+'JUNTA 3'!K21+'JUNTA 4'!K21+'JUNTA 5'!K21+'JUNTA 6'!K21+'JUNTA 7'!K21+'JUNTA 8'!K21)</f>
        <v>0</v>
      </c>
      <c r="O21" s="22">
        <f>SUM('JUNTA 1'!L21+'JUNTA 2'!L21+'JUNTA 3'!L21+'JUNTA 4'!L21+'JUNTA 5'!L21+'JUNTA 6'!L21+'JUNTA 7'!L21+'JUNTA 8'!L21)</f>
        <v>0</v>
      </c>
      <c r="P21" s="21">
        <f>SUM('JUNTA 1'!M21+'JUNTA 2'!M21+'JUNTA 3'!M21+'JUNTA 4'!M21+'JUNTA 5'!M21+'JUNTA 6'!M21+'JUNTA 7'!M21+'JUNTA 8'!M21)</f>
        <v>0</v>
      </c>
      <c r="Q21" s="21">
        <f>'AREA COLECTIVA Y E.H'!D20</f>
        <v>0</v>
      </c>
      <c r="R21" s="21">
        <f>'JUNTA 1'!N21+'JUNTA 2'!N21+'JUNTA 3'!N21+'JUNTA 4'!N21+'JUNTA 5'!N21+'JUNTA 6'!N21+'JUNTA 7'!N21+'JUNTA 8'!N21+'AREA COLECTIVA Y E.H'!H20</f>
        <v>0</v>
      </c>
      <c r="S21" s="21">
        <f>'JUNTA 1'!P21+'JUNTA 2'!P21+'JUNTA 3'!P21+'JUNTA 4'!P21+'JUNTA 5'!P21+'JUNTA 6'!P21+'JUNTA 7'!P21+'JUNTA 8'!P21+'AREA COLECTIVA Y E.H'!R20</f>
        <v>0</v>
      </c>
      <c r="T21" s="21">
        <f>'JUNTA 1'!Q21+'JUNTA 2'!Q21+'JUNTA 3'!Q21+'JUNTA 4'!Q21+'JUNTA 5'!Q21+'JUNTA 6'!Q21+'JUNTA 7'!Q21+'JUNTA 8'!Q21</f>
        <v>0</v>
      </c>
      <c r="U21" s="21">
        <f>'JUNTA 1'!R21+'JUNTA 2'!R21+'JUNTA 3'!R21+'JUNTA 4'!R21+'JUNTA 5'!R21+'JUNTA 6'!R21+'JUNTA 7'!R21+'JUNTA 8'!R21+'AREA COLECTIVA Y E.H'!I20</f>
        <v>0</v>
      </c>
      <c r="V21" s="21">
        <f>'JUNTA 1'!S21+'JUNTA 2'!S21+'JUNTA 3'!S21+'JUNTA 4'!S21+'JUNTA 5'!S21+'JUNTA 6'!S21+'JUNTA 7'!S21+'JUNTA 8'!S21+'AREA COLECTIVA Y E.H'!U20</f>
        <v>0</v>
      </c>
      <c r="W21" s="21">
        <f>'JUNTA 1'!T21+'JUNTA 2'!T21+'JUNTA 3'!T21+'JUNTA 4'!T21+'JUNTA 5'!T21+'JUNTA 6'!T21+'JUNTA 7'!T21+'JUNTA 8'!T21</f>
        <v>0</v>
      </c>
      <c r="X21" s="21">
        <f>'JUNTA 1'!U21+'JUNTA 2'!U21+'JUNTA 3'!U21+'JUNTA 4'!U21+'JUNTA 5'!U21+'JUNTA 6'!U21+'JUNTA 7'!U21+'JUNTA 8'!U21</f>
        <v>0</v>
      </c>
      <c r="Y21" s="21">
        <f>'JUNTA 1'!V21+'JUNTA 2'!V21+'JUNTA 3'!V21+'JUNTA 4'!V21+'JUNTA 5'!V21+'JUNTA 6'!V21+'JUNTA 7'!V21+'JUNTA 8'!V21+'AREA COLECTIVA Y E.H'!Q20</f>
        <v>0</v>
      </c>
      <c r="Z21" s="21">
        <f>'JUNTA 1'!W21+'JUNTA 2'!W21+'JUNTA 3'!W21+'JUNTA 4'!W21+'JUNTA 5'!W21+'JUNTA 6'!W21+'JUNTA 7'!W21+'JUNTA 8'!W21+'AREA COLECTIVA Y E.H'!T20</f>
        <v>0</v>
      </c>
      <c r="AA21" s="21">
        <f>'JUNTA 1'!X21+'JUNTA 2'!X21+'JUNTA 3'!X21+'JUNTA 4'!X21+'JUNTA 5'!X21+'JUNTA 6'!X21+'JUNTA 7'!X21+'JUNTA 8'!X21</f>
        <v>0</v>
      </c>
      <c r="AB21" s="120">
        <f t="shared" si="0"/>
        <v>0</v>
      </c>
      <c r="AC21" s="4"/>
    </row>
    <row r="22" spans="1:29" ht="15.75" customHeight="1">
      <c r="A22" s="26" t="s">
        <v>58</v>
      </c>
      <c r="B22" s="129">
        <f>SUM(B10:D21)</f>
        <v>2</v>
      </c>
      <c r="C22" s="130"/>
      <c r="D22" s="131"/>
      <c r="E22" s="132">
        <f>SUM(E10:H21)</f>
        <v>428</v>
      </c>
      <c r="F22" s="133"/>
      <c r="G22" s="133"/>
      <c r="H22" s="134"/>
      <c r="I22" s="27">
        <f>SUM(I10:I21)</f>
        <v>54</v>
      </c>
      <c r="J22" s="129">
        <f>SUM(J10:L21)</f>
        <v>8679</v>
      </c>
      <c r="K22" s="130"/>
      <c r="L22" s="131"/>
      <c r="M22" s="28">
        <f>SUM(M10:M21)</f>
        <v>111</v>
      </c>
      <c r="N22" s="129">
        <f>SUM(N10:P21)</f>
        <v>2320</v>
      </c>
      <c r="O22" s="130"/>
      <c r="P22" s="131"/>
      <c r="Q22" s="27">
        <f>SUM(Q10:Q21)</f>
        <v>16</v>
      </c>
      <c r="R22" s="27">
        <f>SUM(R10:R21)</f>
        <v>70</v>
      </c>
      <c r="S22" s="27">
        <f>SUM(S10:S21)</f>
        <v>428</v>
      </c>
      <c r="T22" s="127">
        <f>SUM(T10:U21)</f>
        <v>9808</v>
      </c>
      <c r="U22" s="128"/>
      <c r="V22" s="27">
        <f>SUM(V10:V21)</f>
        <v>196</v>
      </c>
      <c r="W22" s="129">
        <f>SUM(W10:X21)</f>
        <v>318</v>
      </c>
      <c r="X22" s="131"/>
      <c r="Y22" s="29">
        <f>SUM(Y10:Y21)</f>
        <v>3638</v>
      </c>
      <c r="Z22" s="29">
        <f>SUM(Z10:Z21)</f>
        <v>791</v>
      </c>
      <c r="AA22" s="29">
        <f>SUM(AA10:AA21)</f>
        <v>217</v>
      </c>
      <c r="AB22" s="29">
        <f>SUM(AB10:AB21)</f>
        <v>27076</v>
      </c>
      <c r="AC22" s="4"/>
    </row>
    <row r="23" spans="1:29" ht="15.75" customHeight="1">
      <c r="Q23" s="34"/>
      <c r="T23" s="34"/>
      <c r="U23" s="34"/>
    </row>
    <row r="24" spans="1:29" ht="15.75" customHeight="1">
      <c r="Q24" s="34"/>
      <c r="T24" s="34"/>
      <c r="U24" s="34"/>
    </row>
    <row r="25" spans="1:29" ht="15.75" customHeight="1">
      <c r="Q25" s="34"/>
      <c r="T25" s="34"/>
      <c r="U25" s="34"/>
    </row>
    <row r="26" spans="1:29" ht="15.75" customHeight="1">
      <c r="Q26" s="34"/>
      <c r="T26" s="34"/>
      <c r="U26" s="34"/>
    </row>
    <row r="27" spans="1:29" ht="15.75" customHeight="1">
      <c r="Q27" s="34"/>
      <c r="T27" s="34"/>
      <c r="U27" s="34"/>
    </row>
    <row r="28" spans="1:29" ht="15.75" customHeight="1">
      <c r="Q28" s="34"/>
      <c r="T28" s="34"/>
      <c r="U28" s="34"/>
    </row>
    <row r="29" spans="1:29" ht="15.75" customHeight="1">
      <c r="Q29" s="34"/>
      <c r="T29" s="34"/>
      <c r="U29" s="34"/>
    </row>
    <row r="30" spans="1:29" ht="15.75" customHeight="1">
      <c r="Q30" s="34"/>
      <c r="T30" s="34"/>
      <c r="U30" s="34"/>
    </row>
    <row r="31" spans="1:29" ht="15.75" customHeight="1">
      <c r="Q31" s="34"/>
      <c r="T31" s="34"/>
      <c r="U31" s="34"/>
    </row>
    <row r="32" spans="1:29" ht="15.75" customHeight="1">
      <c r="Q32" s="34"/>
      <c r="T32" s="34"/>
      <c r="U32" s="34"/>
    </row>
    <row r="33" spans="17:21" ht="15.75" customHeight="1">
      <c r="Q33" s="34"/>
      <c r="T33" s="34"/>
      <c r="U33" s="34"/>
    </row>
    <row r="34" spans="17:21" ht="15.75" customHeight="1">
      <c r="Q34" s="34"/>
      <c r="T34" s="34"/>
      <c r="U34" s="34"/>
    </row>
    <row r="35" spans="17:21" ht="15.75" customHeight="1">
      <c r="Q35" s="34"/>
      <c r="T35" s="34"/>
      <c r="U35" s="34"/>
    </row>
    <row r="36" spans="17:21" ht="15.75" customHeight="1">
      <c r="Q36" s="34"/>
      <c r="T36" s="34"/>
      <c r="U36" s="34"/>
    </row>
    <row r="37" spans="17:21" ht="15.75" customHeight="1">
      <c r="Q37" s="34"/>
      <c r="T37" s="34"/>
      <c r="U37" s="34"/>
    </row>
    <row r="38" spans="17:21" ht="15.75" customHeight="1">
      <c r="Q38" s="34"/>
      <c r="T38" s="34"/>
      <c r="U38" s="34"/>
    </row>
    <row r="39" spans="17:21" ht="15.75" customHeight="1">
      <c r="Q39" s="34"/>
      <c r="T39" s="34"/>
      <c r="U39" s="34"/>
    </row>
    <row r="40" spans="17:21" ht="15.75" customHeight="1">
      <c r="Q40" s="34"/>
      <c r="T40" s="34"/>
      <c r="U40" s="34"/>
    </row>
    <row r="41" spans="17:21" ht="15.75" customHeight="1">
      <c r="Q41" s="34"/>
      <c r="T41" s="34"/>
      <c r="U41" s="34"/>
    </row>
    <row r="42" spans="17:21" ht="15.75" customHeight="1">
      <c r="Q42" s="34"/>
      <c r="T42" s="34"/>
      <c r="U42" s="34"/>
    </row>
    <row r="43" spans="17:21" ht="15.75" customHeight="1">
      <c r="Q43" s="34"/>
      <c r="T43" s="34"/>
      <c r="U43" s="34"/>
    </row>
    <row r="44" spans="17:21" ht="15.75" customHeight="1">
      <c r="Q44" s="34"/>
      <c r="T44" s="34"/>
      <c r="U44" s="34"/>
    </row>
    <row r="45" spans="17:21" ht="15.75" customHeight="1">
      <c r="Q45" s="34"/>
      <c r="T45" s="34"/>
      <c r="U45" s="34"/>
    </row>
    <row r="46" spans="17:21" ht="15.75" customHeight="1">
      <c r="Q46" s="34"/>
      <c r="T46" s="34"/>
      <c r="U46" s="34"/>
    </row>
    <row r="47" spans="17:21" ht="15.75" customHeight="1">
      <c r="Q47" s="34"/>
      <c r="T47" s="34"/>
      <c r="U47" s="34"/>
    </row>
    <row r="48" spans="17:21" ht="15.75" customHeight="1">
      <c r="Q48" s="34"/>
      <c r="T48" s="34"/>
      <c r="U48" s="34"/>
    </row>
    <row r="49" spans="17:21" ht="15.75" customHeight="1">
      <c r="Q49" s="34"/>
      <c r="T49" s="34"/>
      <c r="U49" s="34"/>
    </row>
    <row r="50" spans="17:21" ht="15.75" customHeight="1">
      <c r="Q50" s="34"/>
      <c r="T50" s="34"/>
      <c r="U50" s="34"/>
    </row>
    <row r="51" spans="17:21" ht="15.75" customHeight="1">
      <c r="Q51" s="34"/>
      <c r="T51" s="34"/>
      <c r="U51" s="34"/>
    </row>
    <row r="52" spans="17:21" ht="15.75" customHeight="1">
      <c r="Q52" s="34"/>
      <c r="T52" s="34"/>
      <c r="U52" s="34"/>
    </row>
    <row r="53" spans="17:21" ht="15.75" customHeight="1">
      <c r="Q53" s="34"/>
      <c r="T53" s="34"/>
      <c r="U53" s="34"/>
    </row>
    <row r="54" spans="17:21" ht="15.75" customHeight="1">
      <c r="Q54" s="34"/>
      <c r="T54" s="34"/>
      <c r="U54" s="34"/>
    </row>
    <row r="55" spans="17:21" ht="15.75" customHeight="1">
      <c r="Q55" s="34"/>
      <c r="T55" s="34"/>
      <c r="U55" s="34"/>
    </row>
    <row r="56" spans="17:21" ht="15.75" customHeight="1">
      <c r="Q56" s="34"/>
      <c r="T56" s="34"/>
      <c r="U56" s="34"/>
    </row>
    <row r="57" spans="17:21" ht="15.75" customHeight="1">
      <c r="Q57" s="34"/>
      <c r="T57" s="34"/>
      <c r="U57" s="34"/>
    </row>
    <row r="58" spans="17:21" ht="15.75" customHeight="1">
      <c r="Q58" s="34"/>
      <c r="T58" s="34"/>
      <c r="U58" s="34"/>
    </row>
    <row r="59" spans="17:21" ht="15.75" customHeight="1">
      <c r="Q59" s="34"/>
      <c r="T59" s="34"/>
      <c r="U59" s="34"/>
    </row>
    <row r="60" spans="17:21" ht="15.75" customHeight="1">
      <c r="Q60" s="34"/>
      <c r="T60" s="34"/>
      <c r="U60" s="34"/>
    </row>
    <row r="61" spans="17:21" ht="15.75" customHeight="1">
      <c r="Q61" s="34"/>
      <c r="T61" s="34"/>
      <c r="U61" s="34"/>
    </row>
    <row r="62" spans="17:21" ht="15.75" customHeight="1">
      <c r="Q62" s="34"/>
      <c r="T62" s="34"/>
      <c r="U62" s="34"/>
    </row>
    <row r="63" spans="17:21" ht="15.75" customHeight="1">
      <c r="Q63" s="34"/>
      <c r="T63" s="34"/>
      <c r="U63" s="34"/>
    </row>
    <row r="64" spans="17:21" ht="15.75" customHeight="1">
      <c r="Q64" s="34"/>
      <c r="T64" s="34"/>
      <c r="U64" s="34"/>
    </row>
    <row r="65" spans="17:21" ht="15.75" customHeight="1">
      <c r="Q65" s="34"/>
      <c r="T65" s="34"/>
      <c r="U65" s="34"/>
    </row>
    <row r="66" spans="17:21" ht="15.75" customHeight="1">
      <c r="Q66" s="34"/>
      <c r="T66" s="34"/>
      <c r="U66" s="34"/>
    </row>
    <row r="67" spans="17:21" ht="15.75" customHeight="1">
      <c r="Q67" s="34"/>
      <c r="T67" s="34"/>
      <c r="U67" s="34"/>
    </row>
    <row r="68" spans="17:21" ht="15.75" customHeight="1">
      <c r="Q68" s="34"/>
      <c r="T68" s="34"/>
      <c r="U68" s="34"/>
    </row>
    <row r="69" spans="17:21" ht="15.75" customHeight="1">
      <c r="Q69" s="34"/>
      <c r="T69" s="34"/>
      <c r="U69" s="34"/>
    </row>
    <row r="70" spans="17:21" ht="15.75" customHeight="1">
      <c r="Q70" s="34"/>
      <c r="T70" s="34"/>
      <c r="U70" s="34"/>
    </row>
    <row r="71" spans="17:21" ht="15.75" customHeight="1">
      <c r="Q71" s="34"/>
      <c r="T71" s="34"/>
      <c r="U71" s="34"/>
    </row>
    <row r="72" spans="17:21" ht="15.75" customHeight="1">
      <c r="Q72" s="34"/>
      <c r="T72" s="34"/>
      <c r="U72" s="34"/>
    </row>
    <row r="73" spans="17:21" ht="15.75" customHeight="1">
      <c r="Q73" s="34"/>
      <c r="T73" s="34"/>
      <c r="U73" s="34"/>
    </row>
    <row r="74" spans="17:21" ht="15.75" customHeight="1">
      <c r="Q74" s="34"/>
      <c r="T74" s="34"/>
      <c r="U74" s="34"/>
    </row>
    <row r="75" spans="17:21" ht="15.75" customHeight="1">
      <c r="Q75" s="34"/>
      <c r="T75" s="34"/>
      <c r="U75" s="34"/>
    </row>
    <row r="76" spans="17:21" ht="15.75" customHeight="1">
      <c r="Q76" s="34"/>
      <c r="T76" s="34"/>
      <c r="U76" s="34"/>
    </row>
    <row r="77" spans="17:21" ht="15.75" customHeight="1">
      <c r="Q77" s="34"/>
      <c r="T77" s="34"/>
      <c r="U77" s="34"/>
    </row>
    <row r="78" spans="17:21" ht="15.75" customHeight="1">
      <c r="Q78" s="34"/>
      <c r="T78" s="34"/>
      <c r="U78" s="34"/>
    </row>
    <row r="79" spans="17:21" ht="15.75" customHeight="1">
      <c r="Q79" s="34"/>
      <c r="T79" s="34"/>
      <c r="U79" s="34"/>
    </row>
    <row r="80" spans="17:21" ht="15.75" customHeight="1">
      <c r="Q80" s="34"/>
      <c r="T80" s="34"/>
      <c r="U80" s="34"/>
    </row>
    <row r="81" spans="17:21" ht="15.75" customHeight="1">
      <c r="Q81" s="34"/>
      <c r="T81" s="34"/>
      <c r="U81" s="34"/>
    </row>
    <row r="82" spans="17:21" ht="15.75" customHeight="1">
      <c r="Q82" s="34"/>
      <c r="T82" s="34"/>
      <c r="U82" s="34"/>
    </row>
    <row r="83" spans="17:21" ht="15.75" customHeight="1">
      <c r="Q83" s="34"/>
      <c r="T83" s="34"/>
      <c r="U83" s="34"/>
    </row>
    <row r="84" spans="17:21" ht="15.75" customHeight="1">
      <c r="Q84" s="34"/>
      <c r="T84" s="34"/>
      <c r="U84" s="34"/>
    </row>
    <row r="85" spans="17:21" ht="15.75" customHeight="1">
      <c r="Q85" s="34"/>
      <c r="T85" s="34"/>
      <c r="U85" s="34"/>
    </row>
    <row r="86" spans="17:21" ht="15.75" customHeight="1">
      <c r="Q86" s="34"/>
      <c r="T86" s="34"/>
      <c r="U86" s="34"/>
    </row>
    <row r="87" spans="17:21" ht="15.75" customHeight="1">
      <c r="Q87" s="34"/>
      <c r="T87" s="34"/>
      <c r="U87" s="34"/>
    </row>
    <row r="88" spans="17:21" ht="15.75" customHeight="1">
      <c r="Q88" s="34"/>
      <c r="T88" s="34"/>
      <c r="U88" s="34"/>
    </row>
    <row r="89" spans="17:21" ht="15.75" customHeight="1">
      <c r="Q89" s="34"/>
      <c r="T89" s="34"/>
      <c r="U89" s="34"/>
    </row>
    <row r="90" spans="17:21" ht="15.75" customHeight="1">
      <c r="Q90" s="34"/>
      <c r="T90" s="34"/>
      <c r="U90" s="34"/>
    </row>
    <row r="91" spans="17:21" ht="15.75" customHeight="1">
      <c r="Q91" s="34"/>
      <c r="T91" s="34"/>
      <c r="U91" s="34"/>
    </row>
    <row r="92" spans="17:21" ht="15.75" customHeight="1">
      <c r="Q92" s="34"/>
      <c r="T92" s="34"/>
      <c r="U92" s="34"/>
    </row>
    <row r="93" spans="17:21" ht="15.75" customHeight="1">
      <c r="Q93" s="34"/>
      <c r="T93" s="34"/>
      <c r="U93" s="34"/>
    </row>
    <row r="94" spans="17:21" ht="15.75" customHeight="1">
      <c r="Q94" s="34"/>
      <c r="T94" s="34"/>
      <c r="U94" s="34"/>
    </row>
    <row r="95" spans="17:21" ht="15.75" customHeight="1">
      <c r="Q95" s="34"/>
      <c r="T95" s="34"/>
      <c r="U95" s="34"/>
    </row>
    <row r="96" spans="17:21" ht="15.75" customHeight="1">
      <c r="Q96" s="34"/>
      <c r="T96" s="34"/>
      <c r="U96" s="34"/>
    </row>
    <row r="97" spans="17:21" ht="15.75" customHeight="1">
      <c r="Q97" s="34"/>
      <c r="T97" s="34"/>
      <c r="U97" s="34"/>
    </row>
    <row r="98" spans="17:21" ht="15.75" customHeight="1">
      <c r="Q98" s="34"/>
      <c r="T98" s="34"/>
      <c r="U98" s="34"/>
    </row>
    <row r="99" spans="17:21" ht="15.75" customHeight="1">
      <c r="Q99" s="34"/>
      <c r="T99" s="34"/>
      <c r="U99" s="34"/>
    </row>
    <row r="100" spans="17:21" ht="15.75" customHeight="1">
      <c r="Q100" s="34"/>
      <c r="T100" s="34"/>
      <c r="U100" s="34"/>
    </row>
    <row r="101" spans="17:21" ht="15.75" customHeight="1">
      <c r="Q101" s="34"/>
      <c r="T101" s="34"/>
      <c r="U101" s="34"/>
    </row>
    <row r="102" spans="17:21" ht="15.75" customHeight="1">
      <c r="Q102" s="34"/>
      <c r="T102" s="34"/>
      <c r="U102" s="34"/>
    </row>
    <row r="103" spans="17:21" ht="15.75" customHeight="1">
      <c r="Q103" s="34"/>
      <c r="T103" s="34"/>
      <c r="U103" s="34"/>
    </row>
    <row r="104" spans="17:21" ht="15.75" customHeight="1">
      <c r="Q104" s="34"/>
      <c r="T104" s="34"/>
      <c r="U104" s="34"/>
    </row>
    <row r="105" spans="17:21" ht="15.75" customHeight="1">
      <c r="Q105" s="34"/>
      <c r="T105" s="34"/>
      <c r="U105" s="34"/>
    </row>
    <row r="106" spans="17:21" ht="15.75" customHeight="1">
      <c r="Q106" s="34"/>
      <c r="T106" s="34"/>
      <c r="U106" s="34"/>
    </row>
    <row r="107" spans="17:21" ht="15.75" customHeight="1">
      <c r="Q107" s="34"/>
      <c r="T107" s="34"/>
      <c r="U107" s="34"/>
    </row>
    <row r="108" spans="17:21" ht="15.75" customHeight="1">
      <c r="Q108" s="34"/>
      <c r="T108" s="34"/>
      <c r="U108" s="34"/>
    </row>
    <row r="109" spans="17:21" ht="15.75" customHeight="1">
      <c r="Q109" s="34"/>
      <c r="T109" s="34"/>
      <c r="U109" s="34"/>
    </row>
    <row r="110" spans="17:21" ht="15.75" customHeight="1">
      <c r="Q110" s="34"/>
      <c r="T110" s="34"/>
      <c r="U110" s="34"/>
    </row>
    <row r="111" spans="17:21" ht="15.75" customHeight="1">
      <c r="Q111" s="34"/>
      <c r="T111" s="34"/>
      <c r="U111" s="34"/>
    </row>
    <row r="112" spans="17:21" ht="15.75" customHeight="1">
      <c r="Q112" s="34"/>
      <c r="T112" s="34"/>
      <c r="U112" s="34"/>
    </row>
    <row r="113" spans="17:21" ht="15.75" customHeight="1">
      <c r="Q113" s="34"/>
      <c r="T113" s="34"/>
      <c r="U113" s="34"/>
    </row>
    <row r="114" spans="17:21" ht="15.75" customHeight="1">
      <c r="Q114" s="34"/>
      <c r="T114" s="34"/>
      <c r="U114" s="34"/>
    </row>
    <row r="115" spans="17:21" ht="15.75" customHeight="1">
      <c r="Q115" s="34"/>
      <c r="T115" s="34"/>
      <c r="U115" s="34"/>
    </row>
    <row r="116" spans="17:21" ht="15.75" customHeight="1">
      <c r="Q116" s="34"/>
      <c r="T116" s="34"/>
      <c r="U116" s="34"/>
    </row>
    <row r="117" spans="17:21" ht="15.75" customHeight="1">
      <c r="Q117" s="34"/>
      <c r="T117" s="34"/>
      <c r="U117" s="34"/>
    </row>
    <row r="118" spans="17:21" ht="15.75" customHeight="1">
      <c r="Q118" s="34"/>
      <c r="T118" s="34"/>
      <c r="U118" s="34"/>
    </row>
    <row r="119" spans="17:21" ht="15.75" customHeight="1">
      <c r="Q119" s="34"/>
      <c r="T119" s="34"/>
      <c r="U119" s="34"/>
    </row>
    <row r="120" spans="17:21" ht="15.75" customHeight="1">
      <c r="Q120" s="34"/>
      <c r="T120" s="34"/>
      <c r="U120" s="34"/>
    </row>
    <row r="121" spans="17:21" ht="15.75" customHeight="1">
      <c r="Q121" s="34"/>
      <c r="T121" s="34"/>
      <c r="U121" s="34"/>
    </row>
    <row r="122" spans="17:21" ht="15.75" customHeight="1">
      <c r="Q122" s="34"/>
      <c r="T122" s="34"/>
      <c r="U122" s="34"/>
    </row>
    <row r="123" spans="17:21" ht="15.75" customHeight="1">
      <c r="Q123" s="34"/>
      <c r="T123" s="34"/>
      <c r="U123" s="34"/>
    </row>
    <row r="124" spans="17:21" ht="15.75" customHeight="1">
      <c r="Q124" s="34"/>
      <c r="T124" s="34"/>
      <c r="U124" s="34"/>
    </row>
    <row r="125" spans="17:21" ht="15.75" customHeight="1">
      <c r="Q125" s="34"/>
      <c r="T125" s="34"/>
      <c r="U125" s="34"/>
    </row>
    <row r="126" spans="17:21" ht="15.75" customHeight="1">
      <c r="Q126" s="34"/>
      <c r="T126" s="34"/>
      <c r="U126" s="34"/>
    </row>
    <row r="127" spans="17:21" ht="15.75" customHeight="1">
      <c r="Q127" s="34"/>
      <c r="T127" s="34"/>
      <c r="U127" s="34"/>
    </row>
    <row r="128" spans="17:21" ht="15.75" customHeight="1">
      <c r="Q128" s="34"/>
      <c r="T128" s="34"/>
      <c r="U128" s="34"/>
    </row>
    <row r="129" spans="17:21" ht="15.75" customHeight="1">
      <c r="Q129" s="34"/>
      <c r="T129" s="34"/>
      <c r="U129" s="34"/>
    </row>
    <row r="130" spans="17:21" ht="15.75" customHeight="1">
      <c r="Q130" s="34"/>
      <c r="T130" s="34"/>
      <c r="U130" s="34"/>
    </row>
    <row r="131" spans="17:21" ht="15.75" customHeight="1">
      <c r="Q131" s="34"/>
      <c r="T131" s="34"/>
      <c r="U131" s="34"/>
    </row>
    <row r="132" spans="17:21" ht="15.75" customHeight="1">
      <c r="Q132" s="34"/>
      <c r="T132" s="34"/>
      <c r="U132" s="34"/>
    </row>
    <row r="133" spans="17:21" ht="15.75" customHeight="1">
      <c r="Q133" s="34"/>
      <c r="T133" s="34"/>
      <c r="U133" s="34"/>
    </row>
    <row r="134" spans="17:21" ht="15.75" customHeight="1">
      <c r="Q134" s="34"/>
      <c r="T134" s="34"/>
      <c r="U134" s="34"/>
    </row>
    <row r="135" spans="17:21" ht="15.75" customHeight="1">
      <c r="Q135" s="34"/>
      <c r="T135" s="34"/>
      <c r="U135" s="34"/>
    </row>
    <row r="136" spans="17:21" ht="15.75" customHeight="1">
      <c r="Q136" s="34"/>
      <c r="T136" s="34"/>
      <c r="U136" s="34"/>
    </row>
    <row r="137" spans="17:21" ht="15.75" customHeight="1">
      <c r="Q137" s="34"/>
      <c r="T137" s="34"/>
      <c r="U137" s="34"/>
    </row>
    <row r="138" spans="17:21" ht="15.75" customHeight="1">
      <c r="Q138" s="34"/>
      <c r="T138" s="34"/>
      <c r="U138" s="34"/>
    </row>
    <row r="139" spans="17:21" ht="15.75" customHeight="1">
      <c r="Q139" s="34"/>
      <c r="T139" s="34"/>
      <c r="U139" s="34"/>
    </row>
    <row r="140" spans="17:21" ht="15.75" customHeight="1">
      <c r="Q140" s="34"/>
      <c r="T140" s="34"/>
      <c r="U140" s="34"/>
    </row>
    <row r="141" spans="17:21" ht="15.75" customHeight="1">
      <c r="Q141" s="34"/>
      <c r="T141" s="34"/>
      <c r="U141" s="34"/>
    </row>
    <row r="142" spans="17:21" ht="15.75" customHeight="1">
      <c r="Q142" s="34"/>
      <c r="T142" s="34"/>
      <c r="U142" s="34"/>
    </row>
    <row r="143" spans="17:21" ht="15.75" customHeight="1">
      <c r="Q143" s="34"/>
      <c r="T143" s="34"/>
      <c r="U143" s="34"/>
    </row>
    <row r="144" spans="17:21" ht="15.75" customHeight="1">
      <c r="Q144" s="34"/>
      <c r="T144" s="34"/>
      <c r="U144" s="34"/>
    </row>
    <row r="145" spans="17:21" ht="15.75" customHeight="1">
      <c r="Q145" s="34"/>
      <c r="T145" s="34"/>
      <c r="U145" s="34"/>
    </row>
    <row r="146" spans="17:21" ht="15.75" customHeight="1">
      <c r="Q146" s="34"/>
      <c r="T146" s="34"/>
      <c r="U146" s="34"/>
    </row>
    <row r="147" spans="17:21" ht="15.75" customHeight="1">
      <c r="Q147" s="34"/>
      <c r="T147" s="34"/>
      <c r="U147" s="34"/>
    </row>
    <row r="148" spans="17:21" ht="15.75" customHeight="1">
      <c r="Q148" s="34"/>
      <c r="T148" s="34"/>
      <c r="U148" s="34"/>
    </row>
    <row r="149" spans="17:21" ht="15.75" customHeight="1">
      <c r="Q149" s="34"/>
      <c r="T149" s="34"/>
      <c r="U149" s="34"/>
    </row>
    <row r="150" spans="17:21" ht="15.75" customHeight="1">
      <c r="Q150" s="34"/>
      <c r="T150" s="34"/>
      <c r="U150" s="34"/>
    </row>
    <row r="151" spans="17:21" ht="15.75" customHeight="1">
      <c r="Q151" s="34"/>
      <c r="T151" s="34"/>
      <c r="U151" s="34"/>
    </row>
    <row r="152" spans="17:21" ht="15.75" customHeight="1">
      <c r="Q152" s="34"/>
      <c r="T152" s="34"/>
      <c r="U152" s="34"/>
    </row>
    <row r="153" spans="17:21" ht="15.75" customHeight="1">
      <c r="Q153" s="34"/>
      <c r="T153" s="34"/>
      <c r="U153" s="34"/>
    </row>
    <row r="154" spans="17:21" ht="15.75" customHeight="1">
      <c r="Q154" s="34"/>
      <c r="T154" s="34"/>
      <c r="U154" s="34"/>
    </row>
    <row r="155" spans="17:21" ht="15.75" customHeight="1">
      <c r="Q155" s="34"/>
      <c r="T155" s="34"/>
      <c r="U155" s="34"/>
    </row>
    <row r="156" spans="17:21" ht="15.75" customHeight="1">
      <c r="Q156" s="34"/>
      <c r="T156" s="34"/>
      <c r="U156" s="34"/>
    </row>
    <row r="157" spans="17:21" ht="15.75" customHeight="1">
      <c r="Q157" s="34"/>
      <c r="T157" s="34"/>
      <c r="U157" s="34"/>
    </row>
    <row r="158" spans="17:21" ht="15.75" customHeight="1">
      <c r="Q158" s="34"/>
      <c r="T158" s="34"/>
      <c r="U158" s="34"/>
    </row>
    <row r="159" spans="17:21" ht="15.75" customHeight="1">
      <c r="Q159" s="34"/>
      <c r="T159" s="34"/>
      <c r="U159" s="34"/>
    </row>
    <row r="160" spans="17:21" ht="15.75" customHeight="1">
      <c r="Q160" s="34"/>
      <c r="T160" s="34"/>
      <c r="U160" s="34"/>
    </row>
    <row r="161" spans="17:21" ht="15.75" customHeight="1">
      <c r="Q161" s="34"/>
      <c r="T161" s="34"/>
      <c r="U161" s="34"/>
    </row>
    <row r="162" spans="17:21" ht="15.75" customHeight="1">
      <c r="Q162" s="34"/>
      <c r="T162" s="34"/>
      <c r="U162" s="34"/>
    </row>
    <row r="163" spans="17:21" ht="15.75" customHeight="1">
      <c r="Q163" s="34"/>
      <c r="T163" s="34"/>
      <c r="U163" s="34"/>
    </row>
    <row r="164" spans="17:21" ht="15.75" customHeight="1">
      <c r="Q164" s="34"/>
      <c r="T164" s="34"/>
      <c r="U164" s="34"/>
    </row>
    <row r="165" spans="17:21" ht="15.75" customHeight="1">
      <c r="Q165" s="34"/>
      <c r="T165" s="34"/>
      <c r="U165" s="34"/>
    </row>
    <row r="166" spans="17:21" ht="15.75" customHeight="1">
      <c r="Q166" s="34"/>
      <c r="T166" s="34"/>
      <c r="U166" s="34"/>
    </row>
    <row r="167" spans="17:21" ht="15.75" customHeight="1">
      <c r="Q167" s="34"/>
      <c r="T167" s="34"/>
      <c r="U167" s="34"/>
    </row>
    <row r="168" spans="17:21" ht="15.75" customHeight="1">
      <c r="Q168" s="34"/>
      <c r="T168" s="34"/>
      <c r="U168" s="34"/>
    </row>
    <row r="169" spans="17:21" ht="15.75" customHeight="1">
      <c r="Q169" s="34"/>
      <c r="T169" s="34"/>
      <c r="U169" s="34"/>
    </row>
    <row r="170" spans="17:21" ht="15.75" customHeight="1">
      <c r="Q170" s="34"/>
      <c r="T170" s="34"/>
      <c r="U170" s="34"/>
    </row>
    <row r="171" spans="17:21" ht="15.75" customHeight="1">
      <c r="Q171" s="34"/>
      <c r="T171" s="34"/>
      <c r="U171" s="34"/>
    </row>
    <row r="172" spans="17:21" ht="15.75" customHeight="1">
      <c r="Q172" s="34"/>
      <c r="T172" s="34"/>
      <c r="U172" s="34"/>
    </row>
    <row r="173" spans="17:21" ht="15.75" customHeight="1">
      <c r="Q173" s="34"/>
      <c r="T173" s="34"/>
      <c r="U173" s="34"/>
    </row>
    <row r="174" spans="17:21" ht="15.75" customHeight="1">
      <c r="Q174" s="34"/>
      <c r="T174" s="34"/>
      <c r="U174" s="34"/>
    </row>
    <row r="175" spans="17:21" ht="15.75" customHeight="1">
      <c r="Q175" s="34"/>
      <c r="T175" s="34"/>
      <c r="U175" s="34"/>
    </row>
    <row r="176" spans="17:21" ht="15.75" customHeight="1">
      <c r="Q176" s="34"/>
      <c r="T176" s="34"/>
      <c r="U176" s="34"/>
    </row>
    <row r="177" spans="17:21" ht="15.75" customHeight="1">
      <c r="Q177" s="34"/>
      <c r="T177" s="34"/>
      <c r="U177" s="34"/>
    </row>
    <row r="178" spans="17:21" ht="15.75" customHeight="1">
      <c r="Q178" s="34"/>
      <c r="T178" s="34"/>
      <c r="U178" s="34"/>
    </row>
    <row r="179" spans="17:21" ht="15.75" customHeight="1">
      <c r="Q179" s="34"/>
      <c r="T179" s="34"/>
      <c r="U179" s="34"/>
    </row>
    <row r="180" spans="17:21" ht="15.75" customHeight="1">
      <c r="Q180" s="34"/>
      <c r="T180" s="34"/>
      <c r="U180" s="34"/>
    </row>
    <row r="181" spans="17:21" ht="15.75" customHeight="1">
      <c r="Q181" s="34"/>
      <c r="T181" s="34"/>
      <c r="U181" s="34"/>
    </row>
    <row r="182" spans="17:21" ht="15.75" customHeight="1">
      <c r="Q182" s="34"/>
      <c r="T182" s="34"/>
      <c r="U182" s="34"/>
    </row>
    <row r="183" spans="17:21" ht="15.75" customHeight="1">
      <c r="Q183" s="34"/>
      <c r="T183" s="34"/>
      <c r="U183" s="34"/>
    </row>
    <row r="184" spans="17:21" ht="15.75" customHeight="1">
      <c r="Q184" s="34"/>
      <c r="T184" s="34"/>
      <c r="U184" s="34"/>
    </row>
    <row r="185" spans="17:21" ht="15.75" customHeight="1">
      <c r="Q185" s="34"/>
      <c r="T185" s="34"/>
      <c r="U185" s="34"/>
    </row>
    <row r="186" spans="17:21" ht="15.75" customHeight="1">
      <c r="Q186" s="34"/>
      <c r="T186" s="34"/>
      <c r="U186" s="34"/>
    </row>
    <row r="187" spans="17:21" ht="15.75" customHeight="1">
      <c r="Q187" s="34"/>
      <c r="T187" s="34"/>
      <c r="U187" s="34"/>
    </row>
    <row r="188" spans="17:21" ht="15.75" customHeight="1">
      <c r="Q188" s="34"/>
      <c r="T188" s="34"/>
      <c r="U188" s="34"/>
    </row>
    <row r="189" spans="17:21" ht="15.75" customHeight="1">
      <c r="Q189" s="34"/>
      <c r="T189" s="34"/>
      <c r="U189" s="34"/>
    </row>
    <row r="190" spans="17:21" ht="15.75" customHeight="1">
      <c r="Q190" s="34"/>
      <c r="T190" s="34"/>
      <c r="U190" s="34"/>
    </row>
    <row r="191" spans="17:21" ht="15.75" customHeight="1">
      <c r="Q191" s="34"/>
      <c r="T191" s="34"/>
      <c r="U191" s="34"/>
    </row>
    <row r="192" spans="17:21" ht="15.75" customHeight="1">
      <c r="Q192" s="34"/>
      <c r="T192" s="34"/>
      <c r="U192" s="34"/>
    </row>
    <row r="193" spans="17:21" ht="15.75" customHeight="1">
      <c r="Q193" s="34"/>
      <c r="T193" s="34"/>
      <c r="U193" s="34"/>
    </row>
    <row r="194" spans="17:21" ht="15.75" customHeight="1">
      <c r="Q194" s="34"/>
      <c r="T194" s="34"/>
      <c r="U194" s="34"/>
    </row>
    <row r="195" spans="17:21" ht="15.75" customHeight="1">
      <c r="Q195" s="34"/>
      <c r="T195" s="34"/>
      <c r="U195" s="34"/>
    </row>
    <row r="196" spans="17:21" ht="15.75" customHeight="1">
      <c r="Q196" s="34"/>
      <c r="T196" s="34"/>
      <c r="U196" s="34"/>
    </row>
    <row r="197" spans="17:21" ht="15.75" customHeight="1">
      <c r="Q197" s="34"/>
      <c r="T197" s="34"/>
      <c r="U197" s="34"/>
    </row>
    <row r="198" spans="17:21" ht="15.75" customHeight="1">
      <c r="Q198" s="34"/>
      <c r="T198" s="34"/>
      <c r="U198" s="34"/>
    </row>
    <row r="199" spans="17:21" ht="15.75" customHeight="1">
      <c r="Q199" s="34"/>
      <c r="T199" s="34"/>
      <c r="U199" s="34"/>
    </row>
    <row r="200" spans="17:21" ht="15.75" customHeight="1">
      <c r="Q200" s="34"/>
      <c r="T200" s="34"/>
      <c r="U200" s="34"/>
    </row>
    <row r="201" spans="17:21" ht="15.75" customHeight="1">
      <c r="Q201" s="34"/>
      <c r="T201" s="34"/>
      <c r="U201" s="34"/>
    </row>
    <row r="202" spans="17:21" ht="15.75" customHeight="1">
      <c r="Q202" s="34"/>
      <c r="T202" s="34"/>
      <c r="U202" s="34"/>
    </row>
    <row r="203" spans="17:21" ht="15.75" customHeight="1">
      <c r="Q203" s="34"/>
      <c r="T203" s="34"/>
      <c r="U203" s="34"/>
    </row>
    <row r="204" spans="17:21" ht="15.75" customHeight="1">
      <c r="Q204" s="34"/>
      <c r="T204" s="34"/>
      <c r="U204" s="34"/>
    </row>
    <row r="205" spans="17:21" ht="15.75" customHeight="1">
      <c r="Q205" s="34"/>
      <c r="T205" s="34"/>
      <c r="U205" s="34"/>
    </row>
    <row r="206" spans="17:21" ht="15.75" customHeight="1">
      <c r="Q206" s="34"/>
      <c r="T206" s="34"/>
      <c r="U206" s="34"/>
    </row>
    <row r="207" spans="17:21" ht="15.75" customHeight="1">
      <c r="Q207" s="34"/>
      <c r="T207" s="34"/>
      <c r="U207" s="34"/>
    </row>
    <row r="208" spans="17:21" ht="15.75" customHeight="1">
      <c r="Q208" s="34"/>
      <c r="T208" s="34"/>
      <c r="U208" s="34"/>
    </row>
    <row r="209" spans="17:21" ht="15.75" customHeight="1">
      <c r="Q209" s="34"/>
      <c r="T209" s="34"/>
      <c r="U209" s="34"/>
    </row>
    <row r="210" spans="17:21" ht="15.75" customHeight="1">
      <c r="Q210" s="34"/>
      <c r="T210" s="34"/>
      <c r="U210" s="34"/>
    </row>
    <row r="211" spans="17:21" ht="15.75" customHeight="1">
      <c r="Q211" s="34"/>
      <c r="T211" s="34"/>
      <c r="U211" s="34"/>
    </row>
    <row r="212" spans="17:21" ht="15.75" customHeight="1">
      <c r="Q212" s="34"/>
      <c r="T212" s="34"/>
      <c r="U212" s="34"/>
    </row>
    <row r="213" spans="17:21" ht="15.75" customHeight="1">
      <c r="Q213" s="34"/>
      <c r="T213" s="34"/>
      <c r="U213" s="34"/>
    </row>
    <row r="214" spans="17:21" ht="15.75" customHeight="1">
      <c r="Q214" s="34"/>
      <c r="T214" s="34"/>
      <c r="U214" s="34"/>
    </row>
    <row r="215" spans="17:21" ht="15.75" customHeight="1">
      <c r="Q215" s="34"/>
      <c r="T215" s="34"/>
      <c r="U215" s="34"/>
    </row>
    <row r="216" spans="17:21" ht="15.75" customHeight="1">
      <c r="Q216" s="34"/>
      <c r="T216" s="34"/>
      <c r="U216" s="34"/>
    </row>
    <row r="217" spans="17:21" ht="15.75" customHeight="1">
      <c r="Q217" s="34"/>
      <c r="T217" s="34"/>
      <c r="U217" s="34"/>
    </row>
    <row r="218" spans="17:21" ht="15.75" customHeight="1">
      <c r="Q218" s="34"/>
      <c r="T218" s="34"/>
      <c r="U218" s="34"/>
    </row>
    <row r="219" spans="17:21" ht="15.75" customHeight="1">
      <c r="Q219" s="34"/>
      <c r="T219" s="34"/>
      <c r="U219" s="34"/>
    </row>
    <row r="220" spans="17:21" ht="15.75" customHeight="1">
      <c r="Q220" s="34"/>
      <c r="T220" s="34"/>
      <c r="U220" s="34"/>
    </row>
    <row r="221" spans="17:21" ht="15.75" customHeight="1">
      <c r="Q221" s="34"/>
      <c r="T221" s="34"/>
      <c r="U221" s="34"/>
    </row>
    <row r="222" spans="17:21" ht="15.75" customHeight="1">
      <c r="Q222" s="34"/>
      <c r="T222" s="34"/>
      <c r="U222" s="34"/>
    </row>
    <row r="223" spans="17:21" ht="15.75" customHeight="1">
      <c r="Q223" s="34"/>
      <c r="T223" s="34"/>
      <c r="U223" s="34"/>
    </row>
    <row r="224" spans="17:21" ht="15.75" customHeight="1">
      <c r="Q224" s="34"/>
      <c r="T224" s="34"/>
      <c r="U224" s="34"/>
    </row>
    <row r="225" spans="17:21" ht="15.75" customHeight="1">
      <c r="Q225" s="34"/>
      <c r="T225" s="34"/>
      <c r="U225" s="34"/>
    </row>
    <row r="226" spans="17:21" ht="15.75" customHeight="1">
      <c r="Q226" s="34"/>
      <c r="T226" s="34"/>
      <c r="U226" s="34"/>
    </row>
    <row r="227" spans="17:21" ht="15.75" customHeight="1">
      <c r="Q227" s="34"/>
      <c r="T227" s="34"/>
      <c r="U227" s="34"/>
    </row>
    <row r="228" spans="17:21" ht="15.75" customHeight="1">
      <c r="Q228" s="34"/>
      <c r="T228" s="34"/>
      <c r="U228" s="34"/>
    </row>
    <row r="229" spans="17:21" ht="15.75" customHeight="1">
      <c r="Q229" s="34"/>
      <c r="T229" s="34"/>
      <c r="U229" s="34"/>
    </row>
    <row r="230" spans="17:21" ht="15.75" customHeight="1">
      <c r="Q230" s="34"/>
      <c r="T230" s="34"/>
      <c r="U230" s="34"/>
    </row>
    <row r="231" spans="17:21" ht="15.75" customHeight="1">
      <c r="Q231" s="34"/>
      <c r="T231" s="34"/>
      <c r="U231" s="34"/>
    </row>
    <row r="232" spans="17:21" ht="15.75" customHeight="1">
      <c r="Q232" s="34"/>
      <c r="T232" s="34"/>
      <c r="U232" s="34"/>
    </row>
    <row r="233" spans="17:21" ht="15.75" customHeight="1">
      <c r="Q233" s="34"/>
      <c r="T233" s="34"/>
      <c r="U233" s="34"/>
    </row>
    <row r="234" spans="17:21" ht="15.75" customHeight="1">
      <c r="Q234" s="34"/>
      <c r="T234" s="34"/>
      <c r="U234" s="34"/>
    </row>
    <row r="235" spans="17:21" ht="15.75" customHeight="1">
      <c r="Q235" s="34"/>
      <c r="T235" s="34"/>
      <c r="U235" s="34"/>
    </row>
    <row r="236" spans="17:21" ht="15.75" customHeight="1">
      <c r="Q236" s="34"/>
      <c r="T236" s="34"/>
      <c r="U236" s="34"/>
    </row>
    <row r="237" spans="17:21" ht="15.75" customHeight="1">
      <c r="Q237" s="34"/>
      <c r="T237" s="34"/>
      <c r="U237" s="34"/>
    </row>
    <row r="238" spans="17:21" ht="15.75" customHeight="1">
      <c r="Q238" s="34"/>
      <c r="T238" s="34"/>
      <c r="U238" s="34"/>
    </row>
    <row r="239" spans="17:21" ht="15.75" customHeight="1">
      <c r="Q239" s="34"/>
      <c r="T239" s="34"/>
      <c r="U239" s="34"/>
    </row>
    <row r="240" spans="17:21" ht="15.75" customHeight="1">
      <c r="Q240" s="34"/>
      <c r="T240" s="34"/>
      <c r="U240" s="34"/>
    </row>
    <row r="241" spans="17:21" ht="15.75" customHeight="1">
      <c r="Q241" s="34"/>
      <c r="T241" s="34"/>
      <c r="U241" s="34"/>
    </row>
    <row r="242" spans="17:21" ht="15.75" customHeight="1">
      <c r="Q242" s="34"/>
      <c r="T242" s="34"/>
      <c r="U242" s="34"/>
    </row>
    <row r="243" spans="17:21" ht="15.75" customHeight="1">
      <c r="Q243" s="34"/>
      <c r="T243" s="34"/>
      <c r="U243" s="34"/>
    </row>
    <row r="244" spans="17:21" ht="15.75" customHeight="1">
      <c r="Q244" s="34"/>
      <c r="T244" s="34"/>
      <c r="U244" s="34"/>
    </row>
    <row r="245" spans="17:21" ht="15.75" customHeight="1">
      <c r="Q245" s="34"/>
      <c r="T245" s="34"/>
      <c r="U245" s="34"/>
    </row>
    <row r="246" spans="17:21" ht="15.75" customHeight="1">
      <c r="Q246" s="34"/>
      <c r="T246" s="34"/>
      <c r="U246" s="34"/>
    </row>
    <row r="247" spans="17:21" ht="15.75" customHeight="1">
      <c r="Q247" s="34"/>
      <c r="T247" s="34"/>
      <c r="U247" s="34"/>
    </row>
    <row r="248" spans="17:21" ht="15.75" customHeight="1">
      <c r="Q248" s="34"/>
      <c r="T248" s="34"/>
      <c r="U248" s="34"/>
    </row>
    <row r="249" spans="17:21" ht="15.75" customHeight="1">
      <c r="Q249" s="34"/>
      <c r="T249" s="34"/>
      <c r="U249" s="34"/>
    </row>
    <row r="250" spans="17:21" ht="15.75" customHeight="1">
      <c r="Q250" s="34"/>
      <c r="T250" s="34"/>
      <c r="U250" s="34"/>
    </row>
    <row r="251" spans="17:21" ht="15.75" customHeight="1">
      <c r="Q251" s="34"/>
      <c r="T251" s="34"/>
      <c r="U251" s="34"/>
    </row>
    <row r="252" spans="17:21" ht="15.75" customHeight="1">
      <c r="Q252" s="34"/>
      <c r="T252" s="34"/>
      <c r="U252" s="34"/>
    </row>
    <row r="253" spans="17:21" ht="15.75" customHeight="1">
      <c r="Q253" s="34"/>
      <c r="T253" s="34"/>
      <c r="U253" s="34"/>
    </row>
    <row r="254" spans="17:21" ht="15.75" customHeight="1">
      <c r="Q254" s="34"/>
      <c r="T254" s="34"/>
      <c r="U254" s="34"/>
    </row>
    <row r="255" spans="17:21" ht="15.75" customHeight="1">
      <c r="Q255" s="34"/>
      <c r="T255" s="34"/>
      <c r="U255" s="34"/>
    </row>
    <row r="256" spans="17:21" ht="15.75" customHeight="1">
      <c r="Q256" s="34"/>
      <c r="T256" s="34"/>
      <c r="U256" s="34"/>
    </row>
    <row r="257" spans="17:21" ht="15.75" customHeight="1">
      <c r="Q257" s="34"/>
      <c r="T257" s="34"/>
      <c r="U257" s="34"/>
    </row>
    <row r="258" spans="17:21" ht="15.75" customHeight="1">
      <c r="Q258" s="34"/>
      <c r="T258" s="34"/>
      <c r="U258" s="34"/>
    </row>
    <row r="259" spans="17:21" ht="15.75" customHeight="1">
      <c r="Q259" s="34"/>
      <c r="T259" s="34"/>
      <c r="U259" s="34"/>
    </row>
    <row r="260" spans="17:21" ht="15.75" customHeight="1">
      <c r="Q260" s="34"/>
      <c r="T260" s="34"/>
      <c r="U260" s="34"/>
    </row>
    <row r="261" spans="17:21" ht="15.75" customHeight="1">
      <c r="Q261" s="34"/>
      <c r="T261" s="34"/>
      <c r="U261" s="34"/>
    </row>
    <row r="262" spans="17:21" ht="15.75" customHeight="1">
      <c r="Q262" s="34"/>
      <c r="T262" s="34"/>
      <c r="U262" s="34"/>
    </row>
    <row r="263" spans="17:21" ht="15.75" customHeight="1">
      <c r="Q263" s="34"/>
      <c r="T263" s="34"/>
      <c r="U263" s="34"/>
    </row>
    <row r="264" spans="17:21" ht="15.75" customHeight="1">
      <c r="Q264" s="34"/>
      <c r="T264" s="34"/>
      <c r="U264" s="34"/>
    </row>
    <row r="265" spans="17:21" ht="15.75" customHeight="1">
      <c r="Q265" s="34"/>
      <c r="T265" s="34"/>
      <c r="U265" s="34"/>
    </row>
    <row r="266" spans="17:21" ht="15.75" customHeight="1">
      <c r="Q266" s="34"/>
      <c r="T266" s="34"/>
      <c r="U266" s="34"/>
    </row>
    <row r="267" spans="17:21" ht="15.75" customHeight="1">
      <c r="Q267" s="34"/>
      <c r="T267" s="34"/>
      <c r="U267" s="34"/>
    </row>
    <row r="268" spans="17:21" ht="15.75" customHeight="1">
      <c r="Q268" s="34"/>
      <c r="T268" s="34"/>
      <c r="U268" s="34"/>
    </row>
    <row r="269" spans="17:21" ht="15.75" customHeight="1">
      <c r="Q269" s="34"/>
      <c r="T269" s="34"/>
      <c r="U269" s="34"/>
    </row>
    <row r="270" spans="17:21" ht="15.75" customHeight="1">
      <c r="Q270" s="34"/>
      <c r="T270" s="34"/>
      <c r="U270" s="34"/>
    </row>
    <row r="271" spans="17:21" ht="15.75" customHeight="1">
      <c r="Q271" s="34"/>
      <c r="T271" s="34"/>
      <c r="U271" s="34"/>
    </row>
    <row r="272" spans="17:21" ht="15.75" customHeight="1">
      <c r="Q272" s="34"/>
      <c r="T272" s="34"/>
      <c r="U272" s="34"/>
    </row>
    <row r="273" spans="17:21" ht="15.75" customHeight="1">
      <c r="Q273" s="34"/>
      <c r="T273" s="34"/>
      <c r="U273" s="34"/>
    </row>
    <row r="274" spans="17:21" ht="15.75" customHeight="1">
      <c r="Q274" s="34"/>
      <c r="T274" s="34"/>
      <c r="U274" s="34"/>
    </row>
    <row r="275" spans="17:21" ht="15.75" customHeight="1">
      <c r="Q275" s="34"/>
      <c r="T275" s="34"/>
      <c r="U275" s="34"/>
    </row>
    <row r="276" spans="17:21" ht="15.75" customHeight="1">
      <c r="Q276" s="34"/>
      <c r="T276" s="34"/>
      <c r="U276" s="34"/>
    </row>
    <row r="277" spans="17:21" ht="15.75" customHeight="1">
      <c r="Q277" s="34"/>
      <c r="T277" s="34"/>
      <c r="U277" s="34"/>
    </row>
    <row r="278" spans="17:21" ht="15.75" customHeight="1">
      <c r="Q278" s="34"/>
      <c r="T278" s="34"/>
      <c r="U278" s="34"/>
    </row>
    <row r="279" spans="17:21" ht="15.75" customHeight="1">
      <c r="Q279" s="34"/>
      <c r="T279" s="34"/>
      <c r="U279" s="34"/>
    </row>
    <row r="280" spans="17:21" ht="15.75" customHeight="1">
      <c r="Q280" s="34"/>
      <c r="T280" s="34"/>
      <c r="U280" s="34"/>
    </row>
    <row r="281" spans="17:21" ht="15.75" customHeight="1">
      <c r="Q281" s="34"/>
      <c r="T281" s="34"/>
      <c r="U281" s="34"/>
    </row>
    <row r="282" spans="17:21" ht="15.75" customHeight="1">
      <c r="Q282" s="34"/>
      <c r="T282" s="34"/>
      <c r="U282" s="34"/>
    </row>
    <row r="283" spans="17:21" ht="15.75" customHeight="1">
      <c r="Q283" s="34"/>
      <c r="T283" s="34"/>
      <c r="U283" s="34"/>
    </row>
    <row r="284" spans="17:21" ht="15.75" customHeight="1">
      <c r="Q284" s="34"/>
      <c r="T284" s="34"/>
      <c r="U284" s="34"/>
    </row>
    <row r="285" spans="17:21" ht="15.75" customHeight="1">
      <c r="Q285" s="34"/>
      <c r="T285" s="34"/>
      <c r="U285" s="34"/>
    </row>
    <row r="286" spans="17:21" ht="15.75" customHeight="1">
      <c r="Q286" s="34"/>
      <c r="T286" s="34"/>
      <c r="U286" s="34"/>
    </row>
    <row r="287" spans="17:21" ht="15.75" customHeight="1">
      <c r="Q287" s="34"/>
      <c r="T287" s="34"/>
      <c r="U287" s="34"/>
    </row>
    <row r="288" spans="17:21" ht="15.75" customHeight="1">
      <c r="Q288" s="34"/>
      <c r="T288" s="34"/>
      <c r="U288" s="34"/>
    </row>
    <row r="289" spans="17:21" ht="15.75" customHeight="1">
      <c r="Q289" s="34"/>
      <c r="T289" s="34"/>
      <c r="U289" s="34"/>
    </row>
    <row r="290" spans="17:21" ht="15.75" customHeight="1">
      <c r="Q290" s="34"/>
      <c r="T290" s="34"/>
      <c r="U290" s="34"/>
    </row>
    <row r="291" spans="17:21" ht="15.75" customHeight="1">
      <c r="Q291" s="34"/>
      <c r="T291" s="34"/>
      <c r="U291" s="34"/>
    </row>
    <row r="292" spans="17:21" ht="15.75" customHeight="1">
      <c r="Q292" s="34"/>
      <c r="T292" s="34"/>
      <c r="U292" s="34"/>
    </row>
    <row r="293" spans="17:21" ht="15.75" customHeight="1">
      <c r="Q293" s="34"/>
      <c r="T293" s="34"/>
      <c r="U293" s="34"/>
    </row>
    <row r="294" spans="17:21" ht="15.75" customHeight="1">
      <c r="Q294" s="34"/>
      <c r="T294" s="34"/>
      <c r="U294" s="34"/>
    </row>
    <row r="295" spans="17:21" ht="15.75" customHeight="1">
      <c r="Q295" s="34"/>
      <c r="T295" s="34"/>
      <c r="U295" s="34"/>
    </row>
    <row r="296" spans="17:21" ht="15.75" customHeight="1">
      <c r="Q296" s="34"/>
      <c r="T296" s="34"/>
      <c r="U296" s="34"/>
    </row>
    <row r="297" spans="17:21" ht="15.75" customHeight="1">
      <c r="Q297" s="34"/>
      <c r="T297" s="34"/>
      <c r="U297" s="34"/>
    </row>
    <row r="298" spans="17:21" ht="15.75" customHeight="1">
      <c r="Q298" s="34"/>
      <c r="T298" s="34"/>
      <c r="U298" s="34"/>
    </row>
    <row r="299" spans="17:21" ht="15.75" customHeight="1">
      <c r="Q299" s="34"/>
      <c r="T299" s="34"/>
      <c r="U299" s="34"/>
    </row>
    <row r="300" spans="17:21" ht="15.75" customHeight="1">
      <c r="Q300" s="34"/>
      <c r="T300" s="34"/>
      <c r="U300" s="34"/>
    </row>
    <row r="301" spans="17:21" ht="15.75" customHeight="1">
      <c r="Q301" s="34"/>
      <c r="T301" s="34"/>
      <c r="U301" s="34"/>
    </row>
    <row r="302" spans="17:21" ht="15.75" customHeight="1">
      <c r="Q302" s="34"/>
      <c r="T302" s="34"/>
      <c r="U302" s="34"/>
    </row>
    <row r="303" spans="17:21" ht="15.75" customHeight="1">
      <c r="Q303" s="34"/>
      <c r="T303" s="34"/>
      <c r="U303" s="34"/>
    </row>
    <row r="304" spans="17:21" ht="15.75" customHeight="1">
      <c r="Q304" s="34"/>
      <c r="T304" s="34"/>
      <c r="U304" s="34"/>
    </row>
    <row r="305" spans="17:21" ht="15.75" customHeight="1">
      <c r="Q305" s="34"/>
      <c r="T305" s="34"/>
      <c r="U305" s="34"/>
    </row>
    <row r="306" spans="17:21" ht="15.75" customHeight="1">
      <c r="Q306" s="34"/>
      <c r="T306" s="34"/>
      <c r="U306" s="34"/>
    </row>
    <row r="307" spans="17:21" ht="15.75" customHeight="1">
      <c r="Q307" s="34"/>
      <c r="T307" s="34"/>
      <c r="U307" s="34"/>
    </row>
    <row r="308" spans="17:21" ht="15.75" customHeight="1">
      <c r="Q308" s="34"/>
      <c r="T308" s="34"/>
      <c r="U308" s="34"/>
    </row>
    <row r="309" spans="17:21" ht="15.75" customHeight="1">
      <c r="Q309" s="34"/>
      <c r="T309" s="34"/>
      <c r="U309" s="34"/>
    </row>
    <row r="310" spans="17:21" ht="15.75" customHeight="1">
      <c r="Q310" s="34"/>
      <c r="T310" s="34"/>
      <c r="U310" s="34"/>
    </row>
    <row r="311" spans="17:21" ht="15.75" customHeight="1">
      <c r="Q311" s="34"/>
      <c r="T311" s="34"/>
      <c r="U311" s="34"/>
    </row>
    <row r="312" spans="17:21" ht="15.75" customHeight="1">
      <c r="Q312" s="34"/>
      <c r="T312" s="34"/>
      <c r="U312" s="34"/>
    </row>
    <row r="313" spans="17:21" ht="15.75" customHeight="1">
      <c r="Q313" s="34"/>
      <c r="T313" s="34"/>
      <c r="U313" s="34"/>
    </row>
    <row r="314" spans="17:21" ht="15.75" customHeight="1">
      <c r="Q314" s="34"/>
      <c r="T314" s="34"/>
      <c r="U314" s="34"/>
    </row>
    <row r="315" spans="17:21" ht="15.75" customHeight="1">
      <c r="Q315" s="34"/>
      <c r="T315" s="34"/>
      <c r="U315" s="34"/>
    </row>
    <row r="316" spans="17:21" ht="15.75" customHeight="1">
      <c r="Q316" s="34"/>
      <c r="T316" s="34"/>
      <c r="U316" s="34"/>
    </row>
    <row r="317" spans="17:21" ht="15.75" customHeight="1">
      <c r="Q317" s="34"/>
      <c r="T317" s="34"/>
      <c r="U317" s="34"/>
    </row>
    <row r="318" spans="17:21" ht="15.75" customHeight="1">
      <c r="Q318" s="34"/>
      <c r="T318" s="34"/>
      <c r="U318" s="34"/>
    </row>
    <row r="319" spans="17:21" ht="15.75" customHeight="1">
      <c r="Q319" s="34"/>
      <c r="T319" s="34"/>
      <c r="U319" s="34"/>
    </row>
    <row r="320" spans="17:21" ht="15.75" customHeight="1">
      <c r="Q320" s="34"/>
      <c r="T320" s="34"/>
      <c r="U320" s="34"/>
    </row>
    <row r="321" spans="17:21" ht="15.75" customHeight="1">
      <c r="Q321" s="34"/>
      <c r="T321" s="34"/>
      <c r="U321" s="34"/>
    </row>
    <row r="322" spans="17:21" ht="15.75" customHeight="1">
      <c r="Q322" s="34"/>
      <c r="T322" s="34"/>
      <c r="U322" s="34"/>
    </row>
    <row r="323" spans="17:21" ht="15.75" customHeight="1">
      <c r="Q323" s="34"/>
      <c r="T323" s="34"/>
      <c r="U323" s="34"/>
    </row>
    <row r="324" spans="17:21" ht="15.75" customHeight="1">
      <c r="Q324" s="34"/>
      <c r="T324" s="34"/>
      <c r="U324" s="34"/>
    </row>
    <row r="325" spans="17:21" ht="15.75" customHeight="1">
      <c r="Q325" s="34"/>
      <c r="T325" s="34"/>
      <c r="U325" s="34"/>
    </row>
    <row r="326" spans="17:21" ht="15.75" customHeight="1">
      <c r="Q326" s="34"/>
      <c r="T326" s="34"/>
      <c r="U326" s="34"/>
    </row>
    <row r="327" spans="17:21" ht="15.75" customHeight="1">
      <c r="Q327" s="34"/>
      <c r="T327" s="34"/>
      <c r="U327" s="34"/>
    </row>
    <row r="328" spans="17:21" ht="15.75" customHeight="1">
      <c r="Q328" s="34"/>
      <c r="T328" s="34"/>
      <c r="U328" s="34"/>
    </row>
    <row r="329" spans="17:21" ht="15.75" customHeight="1">
      <c r="Q329" s="34"/>
      <c r="T329" s="34"/>
      <c r="U329" s="34"/>
    </row>
    <row r="330" spans="17:21" ht="15.75" customHeight="1">
      <c r="Q330" s="34"/>
      <c r="T330" s="34"/>
      <c r="U330" s="34"/>
    </row>
    <row r="331" spans="17:21" ht="15.75" customHeight="1">
      <c r="Q331" s="34"/>
      <c r="T331" s="34"/>
      <c r="U331" s="34"/>
    </row>
    <row r="332" spans="17:21" ht="15.75" customHeight="1">
      <c r="Q332" s="34"/>
      <c r="T332" s="34"/>
      <c r="U332" s="34"/>
    </row>
    <row r="333" spans="17:21" ht="15.75" customHeight="1">
      <c r="Q333" s="34"/>
      <c r="T333" s="34"/>
      <c r="U333" s="34"/>
    </row>
    <row r="334" spans="17:21" ht="15.75" customHeight="1">
      <c r="Q334" s="34"/>
      <c r="T334" s="34"/>
      <c r="U334" s="34"/>
    </row>
    <row r="335" spans="17:21" ht="15.75" customHeight="1">
      <c r="Q335" s="34"/>
      <c r="T335" s="34"/>
      <c r="U335" s="34"/>
    </row>
    <row r="336" spans="17:21" ht="15.75" customHeight="1">
      <c r="Q336" s="34"/>
      <c r="T336" s="34"/>
      <c r="U336" s="34"/>
    </row>
    <row r="337" spans="17:21" ht="15.75" customHeight="1">
      <c r="Q337" s="34"/>
      <c r="T337" s="34"/>
      <c r="U337" s="34"/>
    </row>
    <row r="338" spans="17:21" ht="15.75" customHeight="1">
      <c r="Q338" s="34"/>
      <c r="T338" s="34"/>
      <c r="U338" s="34"/>
    </row>
    <row r="339" spans="17:21" ht="15.75" customHeight="1">
      <c r="Q339" s="34"/>
      <c r="T339" s="34"/>
      <c r="U339" s="34"/>
    </row>
    <row r="340" spans="17:21" ht="15.75" customHeight="1">
      <c r="Q340" s="34"/>
      <c r="T340" s="34"/>
      <c r="U340" s="34"/>
    </row>
    <row r="341" spans="17:21" ht="15.75" customHeight="1">
      <c r="Q341" s="34"/>
      <c r="T341" s="34"/>
      <c r="U341" s="34"/>
    </row>
    <row r="342" spans="17:21" ht="15.75" customHeight="1">
      <c r="Q342" s="34"/>
      <c r="T342" s="34"/>
      <c r="U342" s="34"/>
    </row>
    <row r="343" spans="17:21" ht="15.75" customHeight="1">
      <c r="Q343" s="34"/>
      <c r="T343" s="34"/>
      <c r="U343" s="34"/>
    </row>
    <row r="344" spans="17:21" ht="15.75" customHeight="1">
      <c r="Q344" s="34"/>
      <c r="T344" s="34"/>
      <c r="U344" s="34"/>
    </row>
    <row r="345" spans="17:21" ht="15.75" customHeight="1">
      <c r="Q345" s="34"/>
      <c r="T345" s="34"/>
      <c r="U345" s="34"/>
    </row>
    <row r="346" spans="17:21" ht="15.75" customHeight="1">
      <c r="Q346" s="34"/>
      <c r="T346" s="34"/>
      <c r="U346" s="34"/>
    </row>
    <row r="347" spans="17:21" ht="15.75" customHeight="1">
      <c r="Q347" s="34"/>
      <c r="T347" s="34"/>
      <c r="U347" s="34"/>
    </row>
    <row r="348" spans="17:21" ht="15.75" customHeight="1">
      <c r="Q348" s="34"/>
      <c r="T348" s="34"/>
      <c r="U348" s="34"/>
    </row>
    <row r="349" spans="17:21" ht="15.75" customHeight="1">
      <c r="Q349" s="34"/>
      <c r="T349" s="34"/>
      <c r="U349" s="34"/>
    </row>
    <row r="350" spans="17:21" ht="15.75" customHeight="1">
      <c r="Q350" s="34"/>
      <c r="T350" s="34"/>
      <c r="U350" s="34"/>
    </row>
    <row r="351" spans="17:21" ht="15.75" customHeight="1">
      <c r="Q351" s="34"/>
      <c r="T351" s="34"/>
      <c r="U351" s="34"/>
    </row>
    <row r="352" spans="17:21" ht="15.75" customHeight="1">
      <c r="Q352" s="34"/>
      <c r="T352" s="34"/>
      <c r="U352" s="34"/>
    </row>
    <row r="353" spans="17:21" ht="15.75" customHeight="1">
      <c r="Q353" s="34"/>
      <c r="T353" s="34"/>
      <c r="U353" s="34"/>
    </row>
    <row r="354" spans="17:21" ht="15.75" customHeight="1">
      <c r="Q354" s="34"/>
      <c r="T354" s="34"/>
      <c r="U354" s="34"/>
    </row>
    <row r="355" spans="17:21" ht="15.75" customHeight="1">
      <c r="Q355" s="34"/>
      <c r="T355" s="34"/>
      <c r="U355" s="34"/>
    </row>
    <row r="356" spans="17:21" ht="15.75" customHeight="1">
      <c r="Q356" s="34"/>
      <c r="T356" s="34"/>
      <c r="U356" s="34"/>
    </row>
    <row r="357" spans="17:21" ht="15.75" customHeight="1">
      <c r="Q357" s="34"/>
      <c r="T357" s="34"/>
      <c r="U357" s="34"/>
    </row>
    <row r="358" spans="17:21" ht="15.75" customHeight="1">
      <c r="Q358" s="34"/>
      <c r="T358" s="34"/>
      <c r="U358" s="34"/>
    </row>
    <row r="359" spans="17:21" ht="15.75" customHeight="1">
      <c r="Q359" s="34"/>
      <c r="T359" s="34"/>
      <c r="U359" s="34"/>
    </row>
    <row r="360" spans="17:21" ht="15.75" customHeight="1">
      <c r="Q360" s="34"/>
      <c r="T360" s="34"/>
      <c r="U360" s="34"/>
    </row>
    <row r="361" spans="17:21" ht="15.75" customHeight="1">
      <c r="Q361" s="34"/>
      <c r="T361" s="34"/>
      <c r="U361" s="34"/>
    </row>
    <row r="362" spans="17:21" ht="15.75" customHeight="1">
      <c r="Q362" s="34"/>
      <c r="T362" s="34"/>
      <c r="U362" s="34"/>
    </row>
    <row r="363" spans="17:21" ht="15.75" customHeight="1">
      <c r="Q363" s="34"/>
      <c r="T363" s="34"/>
      <c r="U363" s="34"/>
    </row>
    <row r="364" spans="17:21" ht="15.75" customHeight="1">
      <c r="Q364" s="34"/>
      <c r="T364" s="34"/>
      <c r="U364" s="34"/>
    </row>
    <row r="365" spans="17:21" ht="15.75" customHeight="1">
      <c r="Q365" s="34"/>
      <c r="T365" s="34"/>
      <c r="U365" s="34"/>
    </row>
    <row r="366" spans="17:21" ht="15.75" customHeight="1">
      <c r="Q366" s="34"/>
      <c r="T366" s="34"/>
      <c r="U366" s="34"/>
    </row>
    <row r="367" spans="17:21" ht="15.75" customHeight="1">
      <c r="Q367" s="34"/>
      <c r="T367" s="34"/>
      <c r="U367" s="34"/>
    </row>
    <row r="368" spans="17:21" ht="15.75" customHeight="1">
      <c r="Q368" s="34"/>
      <c r="T368" s="34"/>
      <c r="U368" s="34"/>
    </row>
    <row r="369" spans="17:21" ht="15.75" customHeight="1">
      <c r="Q369" s="34"/>
      <c r="T369" s="34"/>
      <c r="U369" s="34"/>
    </row>
    <row r="370" spans="17:21" ht="15.75" customHeight="1">
      <c r="Q370" s="34"/>
      <c r="T370" s="34"/>
      <c r="U370" s="34"/>
    </row>
    <row r="371" spans="17:21" ht="15.75" customHeight="1">
      <c r="Q371" s="34"/>
      <c r="T371" s="34"/>
      <c r="U371" s="34"/>
    </row>
    <row r="372" spans="17:21" ht="15.75" customHeight="1">
      <c r="Q372" s="34"/>
      <c r="T372" s="34"/>
      <c r="U372" s="34"/>
    </row>
    <row r="373" spans="17:21" ht="15.75" customHeight="1">
      <c r="Q373" s="34"/>
      <c r="T373" s="34"/>
      <c r="U373" s="34"/>
    </row>
    <row r="374" spans="17:21" ht="15.75" customHeight="1">
      <c r="Q374" s="34"/>
      <c r="T374" s="34"/>
      <c r="U374" s="34"/>
    </row>
    <row r="375" spans="17:21" ht="15.75" customHeight="1">
      <c r="Q375" s="34"/>
      <c r="T375" s="34"/>
      <c r="U375" s="34"/>
    </row>
    <row r="376" spans="17:21" ht="15.75" customHeight="1">
      <c r="Q376" s="34"/>
      <c r="T376" s="34"/>
      <c r="U376" s="34"/>
    </row>
    <row r="377" spans="17:21" ht="15.75" customHeight="1">
      <c r="Q377" s="34"/>
      <c r="T377" s="34"/>
      <c r="U377" s="34"/>
    </row>
    <row r="378" spans="17:21" ht="15.75" customHeight="1">
      <c r="Q378" s="34"/>
      <c r="T378" s="34"/>
      <c r="U378" s="34"/>
    </row>
    <row r="379" spans="17:21" ht="15.75" customHeight="1">
      <c r="Q379" s="34"/>
      <c r="T379" s="34"/>
      <c r="U379" s="34"/>
    </row>
    <row r="380" spans="17:21" ht="15.75" customHeight="1">
      <c r="Q380" s="34"/>
      <c r="T380" s="34"/>
      <c r="U380" s="34"/>
    </row>
    <row r="381" spans="17:21" ht="15.75" customHeight="1">
      <c r="Q381" s="34"/>
      <c r="T381" s="34"/>
      <c r="U381" s="34"/>
    </row>
    <row r="382" spans="17:21" ht="15.75" customHeight="1">
      <c r="Q382" s="34"/>
      <c r="T382" s="34"/>
      <c r="U382" s="34"/>
    </row>
    <row r="383" spans="17:21" ht="15.75" customHeight="1">
      <c r="Q383" s="34"/>
      <c r="T383" s="34"/>
      <c r="U383" s="34"/>
    </row>
    <row r="384" spans="17:21" ht="15.75" customHeight="1">
      <c r="Q384" s="34"/>
      <c r="T384" s="34"/>
      <c r="U384" s="34"/>
    </row>
    <row r="385" spans="17:21" ht="15.75" customHeight="1">
      <c r="Q385" s="34"/>
      <c r="T385" s="34"/>
      <c r="U385" s="34"/>
    </row>
    <row r="386" spans="17:21" ht="15.75" customHeight="1">
      <c r="Q386" s="34"/>
      <c r="T386" s="34"/>
      <c r="U386" s="34"/>
    </row>
    <row r="387" spans="17:21" ht="15.75" customHeight="1">
      <c r="Q387" s="34"/>
      <c r="T387" s="34"/>
      <c r="U387" s="34"/>
    </row>
    <row r="388" spans="17:21" ht="15.75" customHeight="1">
      <c r="Q388" s="34"/>
      <c r="T388" s="34"/>
      <c r="U388" s="34"/>
    </row>
    <row r="389" spans="17:21" ht="15.75" customHeight="1">
      <c r="Q389" s="34"/>
      <c r="T389" s="34"/>
      <c r="U389" s="34"/>
    </row>
    <row r="390" spans="17:21" ht="15.75" customHeight="1">
      <c r="Q390" s="34"/>
      <c r="T390" s="34"/>
      <c r="U390" s="34"/>
    </row>
    <row r="391" spans="17:21" ht="15.75" customHeight="1">
      <c r="Q391" s="34"/>
      <c r="T391" s="34"/>
      <c r="U391" s="34"/>
    </row>
    <row r="392" spans="17:21" ht="15.75" customHeight="1">
      <c r="Q392" s="34"/>
      <c r="T392" s="34"/>
      <c r="U392" s="34"/>
    </row>
    <row r="393" spans="17:21" ht="15.75" customHeight="1">
      <c r="Q393" s="34"/>
      <c r="T393" s="34"/>
      <c r="U393" s="34"/>
    </row>
    <row r="394" spans="17:21" ht="15.75" customHeight="1">
      <c r="Q394" s="34"/>
      <c r="T394" s="34"/>
      <c r="U394" s="34"/>
    </row>
    <row r="395" spans="17:21" ht="15.75" customHeight="1">
      <c r="Q395" s="34"/>
      <c r="T395" s="34"/>
      <c r="U395" s="34"/>
    </row>
    <row r="396" spans="17:21" ht="15.75" customHeight="1">
      <c r="Q396" s="34"/>
      <c r="T396" s="34"/>
      <c r="U396" s="34"/>
    </row>
    <row r="397" spans="17:21" ht="15.75" customHeight="1">
      <c r="Q397" s="34"/>
      <c r="T397" s="34"/>
      <c r="U397" s="34"/>
    </row>
    <row r="398" spans="17:21" ht="15.75" customHeight="1">
      <c r="Q398" s="34"/>
      <c r="T398" s="34"/>
      <c r="U398" s="34"/>
    </row>
    <row r="399" spans="17:21" ht="15.75" customHeight="1">
      <c r="Q399" s="34"/>
      <c r="T399" s="34"/>
      <c r="U399" s="34"/>
    </row>
    <row r="400" spans="17:21" ht="15.75" customHeight="1">
      <c r="Q400" s="34"/>
      <c r="T400" s="34"/>
      <c r="U400" s="34"/>
    </row>
    <row r="401" spans="17:21" ht="15.75" customHeight="1">
      <c r="Q401" s="34"/>
      <c r="T401" s="34"/>
      <c r="U401" s="34"/>
    </row>
    <row r="402" spans="17:21" ht="15.75" customHeight="1">
      <c r="Q402" s="34"/>
      <c r="T402" s="34"/>
      <c r="U402" s="34"/>
    </row>
    <row r="403" spans="17:21" ht="15.75" customHeight="1">
      <c r="Q403" s="34"/>
      <c r="T403" s="34"/>
      <c r="U403" s="34"/>
    </row>
    <row r="404" spans="17:21" ht="15.75" customHeight="1">
      <c r="Q404" s="34"/>
      <c r="T404" s="34"/>
      <c r="U404" s="34"/>
    </row>
    <row r="405" spans="17:21" ht="15.75" customHeight="1">
      <c r="Q405" s="34"/>
      <c r="T405" s="34"/>
      <c r="U405" s="34"/>
    </row>
    <row r="406" spans="17:21" ht="15.75" customHeight="1">
      <c r="Q406" s="34"/>
      <c r="T406" s="34"/>
      <c r="U406" s="34"/>
    </row>
    <row r="407" spans="17:21" ht="15.75" customHeight="1">
      <c r="Q407" s="34"/>
      <c r="T407" s="34"/>
      <c r="U407" s="34"/>
    </row>
    <row r="408" spans="17:21" ht="15.75" customHeight="1">
      <c r="Q408" s="34"/>
      <c r="T408" s="34"/>
      <c r="U408" s="34"/>
    </row>
    <row r="409" spans="17:21" ht="15.75" customHeight="1">
      <c r="Q409" s="34"/>
      <c r="T409" s="34"/>
      <c r="U409" s="34"/>
    </row>
    <row r="410" spans="17:21" ht="15.75" customHeight="1">
      <c r="Q410" s="34"/>
      <c r="T410" s="34"/>
      <c r="U410" s="34"/>
    </row>
    <row r="411" spans="17:21" ht="15.75" customHeight="1">
      <c r="Q411" s="34"/>
      <c r="T411" s="34"/>
      <c r="U411" s="34"/>
    </row>
    <row r="412" spans="17:21" ht="15.75" customHeight="1">
      <c r="Q412" s="34"/>
      <c r="T412" s="34"/>
      <c r="U412" s="34"/>
    </row>
    <row r="413" spans="17:21" ht="15.75" customHeight="1">
      <c r="Q413" s="34"/>
      <c r="T413" s="34"/>
      <c r="U413" s="34"/>
    </row>
    <row r="414" spans="17:21" ht="15.75" customHeight="1">
      <c r="Q414" s="34"/>
      <c r="T414" s="34"/>
      <c r="U414" s="34"/>
    </row>
    <row r="415" spans="17:21" ht="15.75" customHeight="1">
      <c r="Q415" s="34"/>
      <c r="T415" s="34"/>
      <c r="U415" s="34"/>
    </row>
    <row r="416" spans="17:21" ht="15.75" customHeight="1">
      <c r="Q416" s="34"/>
      <c r="T416" s="34"/>
      <c r="U416" s="34"/>
    </row>
    <row r="417" spans="17:21" ht="15.75" customHeight="1">
      <c r="Q417" s="34"/>
      <c r="T417" s="34"/>
      <c r="U417" s="34"/>
    </row>
    <row r="418" spans="17:21" ht="15.75" customHeight="1">
      <c r="Q418" s="34"/>
      <c r="T418" s="34"/>
      <c r="U418" s="34"/>
    </row>
    <row r="419" spans="17:21" ht="15.75" customHeight="1">
      <c r="Q419" s="34"/>
      <c r="T419" s="34"/>
      <c r="U419" s="34"/>
    </row>
    <row r="420" spans="17:21" ht="15.75" customHeight="1">
      <c r="Q420" s="34"/>
      <c r="T420" s="34"/>
      <c r="U420" s="34"/>
    </row>
    <row r="421" spans="17:21" ht="15.75" customHeight="1">
      <c r="Q421" s="34"/>
      <c r="T421" s="34"/>
      <c r="U421" s="34"/>
    </row>
    <row r="422" spans="17:21" ht="15.75" customHeight="1">
      <c r="Q422" s="34"/>
      <c r="T422" s="34"/>
      <c r="U422" s="34"/>
    </row>
    <row r="423" spans="17:21" ht="15.75" customHeight="1">
      <c r="Q423" s="34"/>
      <c r="T423" s="34"/>
      <c r="U423" s="34"/>
    </row>
    <row r="424" spans="17:21" ht="15.75" customHeight="1">
      <c r="Q424" s="34"/>
      <c r="T424" s="34"/>
      <c r="U424" s="34"/>
    </row>
    <row r="425" spans="17:21" ht="15.75" customHeight="1">
      <c r="Q425" s="34"/>
      <c r="T425" s="34"/>
      <c r="U425" s="34"/>
    </row>
    <row r="426" spans="17:21" ht="15.75" customHeight="1">
      <c r="Q426" s="34"/>
      <c r="T426" s="34"/>
      <c r="U426" s="34"/>
    </row>
    <row r="427" spans="17:21" ht="15.75" customHeight="1">
      <c r="Q427" s="34"/>
      <c r="T427" s="34"/>
      <c r="U427" s="34"/>
    </row>
    <row r="428" spans="17:21" ht="15.75" customHeight="1">
      <c r="Q428" s="34"/>
      <c r="T428" s="34"/>
      <c r="U428" s="34"/>
    </row>
    <row r="429" spans="17:21" ht="15.75" customHeight="1">
      <c r="Q429" s="34"/>
      <c r="T429" s="34"/>
      <c r="U429" s="34"/>
    </row>
    <row r="430" spans="17:21" ht="15.75" customHeight="1">
      <c r="Q430" s="34"/>
      <c r="T430" s="34"/>
      <c r="U430" s="34"/>
    </row>
    <row r="431" spans="17:21" ht="15.75" customHeight="1">
      <c r="Q431" s="34"/>
      <c r="T431" s="34"/>
      <c r="U431" s="34"/>
    </row>
    <row r="432" spans="17:21" ht="15.75" customHeight="1">
      <c r="Q432" s="34"/>
      <c r="T432" s="34"/>
      <c r="U432" s="34"/>
    </row>
    <row r="433" spans="17:21" ht="15.75" customHeight="1">
      <c r="Q433" s="34"/>
      <c r="T433" s="34"/>
      <c r="U433" s="34"/>
    </row>
    <row r="434" spans="17:21" ht="15.75" customHeight="1">
      <c r="Q434" s="34"/>
      <c r="T434" s="34"/>
      <c r="U434" s="34"/>
    </row>
    <row r="435" spans="17:21" ht="15.75" customHeight="1">
      <c r="Q435" s="34"/>
      <c r="T435" s="34"/>
      <c r="U435" s="34"/>
    </row>
    <row r="436" spans="17:21" ht="15.75" customHeight="1">
      <c r="Q436" s="34"/>
      <c r="T436" s="34"/>
      <c r="U436" s="34"/>
    </row>
    <row r="437" spans="17:21" ht="15.75" customHeight="1">
      <c r="Q437" s="34"/>
      <c r="T437" s="34"/>
      <c r="U437" s="34"/>
    </row>
    <row r="438" spans="17:21" ht="15.75" customHeight="1">
      <c r="Q438" s="34"/>
      <c r="T438" s="34"/>
      <c r="U438" s="34"/>
    </row>
    <row r="439" spans="17:21" ht="15.75" customHeight="1">
      <c r="Q439" s="34"/>
      <c r="T439" s="34"/>
      <c r="U439" s="34"/>
    </row>
    <row r="440" spans="17:21" ht="15.75" customHeight="1">
      <c r="Q440" s="34"/>
      <c r="T440" s="34"/>
      <c r="U440" s="34"/>
    </row>
    <row r="441" spans="17:21" ht="15.75" customHeight="1">
      <c r="Q441" s="34"/>
      <c r="T441" s="34"/>
      <c r="U441" s="34"/>
    </row>
    <row r="442" spans="17:21" ht="15.75" customHeight="1">
      <c r="Q442" s="34"/>
      <c r="T442" s="34"/>
      <c r="U442" s="34"/>
    </row>
    <row r="443" spans="17:21" ht="15.75" customHeight="1">
      <c r="Q443" s="34"/>
      <c r="T443" s="34"/>
      <c r="U443" s="34"/>
    </row>
    <row r="444" spans="17:21" ht="15.75" customHeight="1">
      <c r="Q444" s="34"/>
      <c r="T444" s="34"/>
      <c r="U444" s="34"/>
    </row>
    <row r="445" spans="17:21" ht="15.75" customHeight="1">
      <c r="Q445" s="34"/>
      <c r="T445" s="34"/>
      <c r="U445" s="34"/>
    </row>
    <row r="446" spans="17:21" ht="15.75" customHeight="1">
      <c r="Q446" s="34"/>
      <c r="T446" s="34"/>
      <c r="U446" s="34"/>
    </row>
    <row r="447" spans="17:21" ht="15.75" customHeight="1">
      <c r="Q447" s="34"/>
      <c r="T447" s="34"/>
      <c r="U447" s="34"/>
    </row>
    <row r="448" spans="17:21" ht="15.75" customHeight="1">
      <c r="Q448" s="34"/>
      <c r="T448" s="34"/>
      <c r="U448" s="34"/>
    </row>
    <row r="449" spans="17:21" ht="15.75" customHeight="1">
      <c r="Q449" s="34"/>
      <c r="T449" s="34"/>
      <c r="U449" s="34"/>
    </row>
    <row r="450" spans="17:21" ht="15.75" customHeight="1">
      <c r="Q450" s="34"/>
      <c r="T450" s="34"/>
      <c r="U450" s="34"/>
    </row>
    <row r="451" spans="17:21" ht="15.75" customHeight="1">
      <c r="Q451" s="34"/>
      <c r="T451" s="34"/>
      <c r="U451" s="34"/>
    </row>
    <row r="452" spans="17:21" ht="15.75" customHeight="1">
      <c r="Q452" s="34"/>
      <c r="T452" s="34"/>
      <c r="U452" s="34"/>
    </row>
    <row r="453" spans="17:21" ht="15.75" customHeight="1">
      <c r="Q453" s="34"/>
      <c r="T453" s="34"/>
      <c r="U453" s="34"/>
    </row>
    <row r="454" spans="17:21" ht="15.75" customHeight="1">
      <c r="Q454" s="34"/>
      <c r="T454" s="34"/>
      <c r="U454" s="34"/>
    </row>
    <row r="455" spans="17:21" ht="15.75" customHeight="1">
      <c r="Q455" s="34"/>
      <c r="T455" s="34"/>
      <c r="U455" s="34"/>
    </row>
    <row r="456" spans="17:21" ht="15.75" customHeight="1">
      <c r="Q456" s="34"/>
      <c r="T456" s="34"/>
      <c r="U456" s="34"/>
    </row>
    <row r="457" spans="17:21" ht="15.75" customHeight="1">
      <c r="Q457" s="34"/>
      <c r="T457" s="34"/>
      <c r="U457" s="34"/>
    </row>
    <row r="458" spans="17:21" ht="15.75" customHeight="1">
      <c r="Q458" s="34"/>
      <c r="T458" s="34"/>
      <c r="U458" s="34"/>
    </row>
    <row r="459" spans="17:21" ht="15.75" customHeight="1">
      <c r="Q459" s="34"/>
      <c r="T459" s="34"/>
      <c r="U459" s="34"/>
    </row>
    <row r="460" spans="17:21" ht="15.75" customHeight="1">
      <c r="Q460" s="34"/>
      <c r="T460" s="34"/>
      <c r="U460" s="34"/>
    </row>
    <row r="461" spans="17:21" ht="15.75" customHeight="1">
      <c r="Q461" s="34"/>
      <c r="T461" s="34"/>
      <c r="U461" s="34"/>
    </row>
    <row r="462" spans="17:21" ht="15.75" customHeight="1">
      <c r="Q462" s="34"/>
      <c r="T462" s="34"/>
      <c r="U462" s="34"/>
    </row>
    <row r="463" spans="17:21" ht="15.75" customHeight="1">
      <c r="Q463" s="34"/>
      <c r="T463" s="34"/>
      <c r="U463" s="34"/>
    </row>
    <row r="464" spans="17:21" ht="15.75" customHeight="1">
      <c r="Q464" s="34"/>
      <c r="T464" s="34"/>
      <c r="U464" s="34"/>
    </row>
    <row r="465" spans="17:21" ht="15.75" customHeight="1">
      <c r="Q465" s="34"/>
      <c r="T465" s="34"/>
      <c r="U465" s="34"/>
    </row>
    <row r="466" spans="17:21" ht="15.75" customHeight="1">
      <c r="Q466" s="34"/>
      <c r="T466" s="34"/>
      <c r="U466" s="34"/>
    </row>
    <row r="467" spans="17:21" ht="15.75" customHeight="1">
      <c r="Q467" s="34"/>
      <c r="T467" s="34"/>
      <c r="U467" s="34"/>
    </row>
    <row r="468" spans="17:21" ht="15.75" customHeight="1">
      <c r="Q468" s="34"/>
      <c r="T468" s="34"/>
      <c r="U468" s="34"/>
    </row>
    <row r="469" spans="17:21" ht="15.75" customHeight="1">
      <c r="Q469" s="34"/>
      <c r="T469" s="34"/>
      <c r="U469" s="34"/>
    </row>
    <row r="470" spans="17:21" ht="15.75" customHeight="1">
      <c r="Q470" s="34"/>
      <c r="T470" s="34"/>
      <c r="U470" s="34"/>
    </row>
    <row r="471" spans="17:21" ht="15.75" customHeight="1">
      <c r="Q471" s="34"/>
      <c r="T471" s="34"/>
      <c r="U471" s="34"/>
    </row>
    <row r="472" spans="17:21" ht="15.75" customHeight="1">
      <c r="Q472" s="34"/>
      <c r="T472" s="34"/>
      <c r="U472" s="34"/>
    </row>
    <row r="473" spans="17:21" ht="15.75" customHeight="1">
      <c r="Q473" s="34"/>
      <c r="T473" s="34"/>
      <c r="U473" s="34"/>
    </row>
    <row r="474" spans="17:21" ht="15.75" customHeight="1">
      <c r="Q474" s="34"/>
      <c r="T474" s="34"/>
      <c r="U474" s="34"/>
    </row>
    <row r="475" spans="17:21" ht="15.75" customHeight="1">
      <c r="Q475" s="34"/>
      <c r="T475" s="34"/>
      <c r="U475" s="34"/>
    </row>
    <row r="476" spans="17:21" ht="15.75" customHeight="1">
      <c r="Q476" s="34"/>
      <c r="T476" s="34"/>
      <c r="U476" s="34"/>
    </row>
    <row r="477" spans="17:21" ht="15.75" customHeight="1">
      <c r="Q477" s="34"/>
      <c r="T477" s="34"/>
      <c r="U477" s="34"/>
    </row>
    <row r="478" spans="17:21" ht="15.75" customHeight="1">
      <c r="Q478" s="34"/>
      <c r="T478" s="34"/>
      <c r="U478" s="34"/>
    </row>
    <row r="479" spans="17:21" ht="15.75" customHeight="1">
      <c r="Q479" s="34"/>
      <c r="T479" s="34"/>
      <c r="U479" s="34"/>
    </row>
    <row r="480" spans="17:21" ht="15.75" customHeight="1">
      <c r="Q480" s="34"/>
      <c r="T480" s="34"/>
      <c r="U480" s="34"/>
    </row>
    <row r="481" spans="17:21" ht="15.75" customHeight="1">
      <c r="Q481" s="34"/>
      <c r="T481" s="34"/>
      <c r="U481" s="34"/>
    </row>
    <row r="482" spans="17:21" ht="15.75" customHeight="1">
      <c r="Q482" s="34"/>
      <c r="T482" s="34"/>
      <c r="U482" s="34"/>
    </row>
    <row r="483" spans="17:21" ht="15.75" customHeight="1">
      <c r="Q483" s="34"/>
      <c r="T483" s="34"/>
      <c r="U483" s="34"/>
    </row>
    <row r="484" spans="17:21" ht="15.75" customHeight="1">
      <c r="Q484" s="34"/>
      <c r="T484" s="34"/>
      <c r="U484" s="34"/>
    </row>
    <row r="485" spans="17:21" ht="15.75" customHeight="1">
      <c r="Q485" s="34"/>
      <c r="T485" s="34"/>
      <c r="U485" s="34"/>
    </row>
    <row r="486" spans="17:21" ht="15.75" customHeight="1">
      <c r="Q486" s="34"/>
      <c r="T486" s="34"/>
      <c r="U486" s="34"/>
    </row>
    <row r="487" spans="17:21" ht="15.75" customHeight="1">
      <c r="Q487" s="34"/>
      <c r="T487" s="34"/>
      <c r="U487" s="34"/>
    </row>
    <row r="488" spans="17:21" ht="15.75" customHeight="1">
      <c r="Q488" s="34"/>
      <c r="T488" s="34"/>
      <c r="U488" s="34"/>
    </row>
    <row r="489" spans="17:21" ht="15.75" customHeight="1">
      <c r="Q489" s="34"/>
      <c r="T489" s="34"/>
      <c r="U489" s="34"/>
    </row>
    <row r="490" spans="17:21" ht="15.75" customHeight="1">
      <c r="Q490" s="34"/>
      <c r="T490" s="34"/>
      <c r="U490" s="34"/>
    </row>
    <row r="491" spans="17:21" ht="15.75" customHeight="1">
      <c r="Q491" s="34"/>
      <c r="T491" s="34"/>
      <c r="U491" s="34"/>
    </row>
    <row r="492" spans="17:21" ht="15.75" customHeight="1">
      <c r="Q492" s="34"/>
      <c r="T492" s="34"/>
      <c r="U492" s="34"/>
    </row>
    <row r="493" spans="17:21" ht="15.75" customHeight="1">
      <c r="Q493" s="34"/>
      <c r="T493" s="34"/>
      <c r="U493" s="34"/>
    </row>
    <row r="494" spans="17:21" ht="15.75" customHeight="1">
      <c r="Q494" s="34"/>
      <c r="T494" s="34"/>
      <c r="U494" s="34"/>
    </row>
    <row r="495" spans="17:21" ht="15.75" customHeight="1">
      <c r="Q495" s="34"/>
      <c r="T495" s="34"/>
      <c r="U495" s="34"/>
    </row>
    <row r="496" spans="17:21" ht="15.75" customHeight="1">
      <c r="Q496" s="34"/>
      <c r="T496" s="34"/>
      <c r="U496" s="34"/>
    </row>
    <row r="497" spans="17:21" ht="15.75" customHeight="1">
      <c r="Q497" s="34"/>
      <c r="T497" s="34"/>
      <c r="U497" s="34"/>
    </row>
    <row r="498" spans="17:21" ht="15.75" customHeight="1">
      <c r="Q498" s="34"/>
      <c r="T498" s="34"/>
      <c r="U498" s="34"/>
    </row>
    <row r="499" spans="17:21" ht="15.75" customHeight="1">
      <c r="Q499" s="34"/>
      <c r="T499" s="34"/>
      <c r="U499" s="34"/>
    </row>
    <row r="500" spans="17:21" ht="15.75" customHeight="1">
      <c r="Q500" s="34"/>
      <c r="T500" s="34"/>
      <c r="U500" s="34"/>
    </row>
    <row r="501" spans="17:21" ht="15.75" customHeight="1">
      <c r="Q501" s="34"/>
      <c r="T501" s="34"/>
      <c r="U501" s="34"/>
    </row>
    <row r="502" spans="17:21" ht="15.75" customHeight="1">
      <c r="Q502" s="34"/>
      <c r="T502" s="34"/>
      <c r="U502" s="34"/>
    </row>
    <row r="503" spans="17:21" ht="15.75" customHeight="1">
      <c r="Q503" s="34"/>
      <c r="T503" s="34"/>
      <c r="U503" s="34"/>
    </row>
    <row r="504" spans="17:21" ht="15.75" customHeight="1">
      <c r="Q504" s="34"/>
      <c r="T504" s="34"/>
      <c r="U504" s="34"/>
    </row>
    <row r="505" spans="17:21" ht="15.75" customHeight="1">
      <c r="Q505" s="34"/>
      <c r="T505" s="34"/>
      <c r="U505" s="34"/>
    </row>
    <row r="506" spans="17:21" ht="15.75" customHeight="1">
      <c r="Q506" s="34"/>
      <c r="T506" s="34"/>
      <c r="U506" s="34"/>
    </row>
    <row r="507" spans="17:21" ht="15.75" customHeight="1">
      <c r="Q507" s="34"/>
      <c r="T507" s="34"/>
      <c r="U507" s="34"/>
    </row>
    <row r="508" spans="17:21" ht="15.75" customHeight="1">
      <c r="Q508" s="34"/>
      <c r="T508" s="34"/>
      <c r="U508" s="34"/>
    </row>
    <row r="509" spans="17:21" ht="15.75" customHeight="1">
      <c r="Q509" s="34"/>
      <c r="T509" s="34"/>
      <c r="U509" s="34"/>
    </row>
    <row r="510" spans="17:21" ht="15.75" customHeight="1">
      <c r="Q510" s="34"/>
      <c r="T510" s="34"/>
      <c r="U510" s="34"/>
    </row>
    <row r="511" spans="17:21" ht="15.75" customHeight="1">
      <c r="Q511" s="34"/>
      <c r="T511" s="34"/>
      <c r="U511" s="34"/>
    </row>
    <row r="512" spans="17:21" ht="15.75" customHeight="1">
      <c r="Q512" s="34"/>
      <c r="T512" s="34"/>
      <c r="U512" s="34"/>
    </row>
    <row r="513" spans="17:21" ht="15.75" customHeight="1">
      <c r="Q513" s="34"/>
      <c r="T513" s="34"/>
      <c r="U513" s="34"/>
    </row>
    <row r="514" spans="17:21" ht="15.75" customHeight="1">
      <c r="Q514" s="34"/>
      <c r="T514" s="34"/>
      <c r="U514" s="34"/>
    </row>
    <row r="515" spans="17:21" ht="15.75" customHeight="1">
      <c r="Q515" s="34"/>
      <c r="T515" s="34"/>
      <c r="U515" s="34"/>
    </row>
    <row r="516" spans="17:21" ht="15.75" customHeight="1">
      <c r="Q516" s="34"/>
      <c r="T516" s="34"/>
      <c r="U516" s="34"/>
    </row>
    <row r="517" spans="17:21" ht="15.75" customHeight="1">
      <c r="Q517" s="34"/>
      <c r="T517" s="34"/>
      <c r="U517" s="34"/>
    </row>
    <row r="518" spans="17:21" ht="15.75" customHeight="1">
      <c r="Q518" s="34"/>
      <c r="T518" s="34"/>
      <c r="U518" s="34"/>
    </row>
    <row r="519" spans="17:21" ht="15.75" customHeight="1">
      <c r="Q519" s="34"/>
      <c r="T519" s="34"/>
      <c r="U519" s="34"/>
    </row>
    <row r="520" spans="17:21" ht="15.75" customHeight="1">
      <c r="Q520" s="34"/>
      <c r="T520" s="34"/>
      <c r="U520" s="34"/>
    </row>
    <row r="521" spans="17:21" ht="15.75" customHeight="1">
      <c r="Q521" s="34"/>
      <c r="T521" s="34"/>
      <c r="U521" s="34"/>
    </row>
    <row r="522" spans="17:21" ht="15.75" customHeight="1">
      <c r="Q522" s="34"/>
      <c r="T522" s="34"/>
      <c r="U522" s="34"/>
    </row>
    <row r="523" spans="17:21" ht="15.75" customHeight="1">
      <c r="Q523" s="34"/>
      <c r="T523" s="34"/>
      <c r="U523" s="34"/>
    </row>
    <row r="524" spans="17:21" ht="15.75" customHeight="1">
      <c r="Q524" s="34"/>
      <c r="T524" s="34"/>
      <c r="U524" s="34"/>
    </row>
    <row r="525" spans="17:21" ht="15.75" customHeight="1">
      <c r="Q525" s="34"/>
      <c r="T525" s="34"/>
      <c r="U525" s="34"/>
    </row>
    <row r="526" spans="17:21" ht="15.75" customHeight="1">
      <c r="Q526" s="34"/>
      <c r="T526" s="34"/>
      <c r="U526" s="34"/>
    </row>
    <row r="527" spans="17:21" ht="15.75" customHeight="1">
      <c r="Q527" s="34"/>
      <c r="T527" s="34"/>
      <c r="U527" s="34"/>
    </row>
    <row r="528" spans="17:21" ht="15.75" customHeight="1">
      <c r="Q528" s="34"/>
      <c r="T528" s="34"/>
      <c r="U528" s="34"/>
    </row>
    <row r="529" spans="17:21" ht="15.75" customHeight="1">
      <c r="Q529" s="34"/>
      <c r="T529" s="34"/>
      <c r="U529" s="34"/>
    </row>
    <row r="530" spans="17:21" ht="15.75" customHeight="1">
      <c r="Q530" s="34"/>
      <c r="T530" s="34"/>
      <c r="U530" s="34"/>
    </row>
    <row r="531" spans="17:21" ht="15.75" customHeight="1">
      <c r="Q531" s="34"/>
      <c r="T531" s="34"/>
      <c r="U531" s="34"/>
    </row>
    <row r="532" spans="17:21" ht="15.75" customHeight="1">
      <c r="Q532" s="34"/>
      <c r="T532" s="34"/>
      <c r="U532" s="34"/>
    </row>
    <row r="533" spans="17:21" ht="15.75" customHeight="1">
      <c r="Q533" s="34"/>
      <c r="T533" s="34"/>
      <c r="U533" s="34"/>
    </row>
    <row r="534" spans="17:21" ht="15.75" customHeight="1">
      <c r="Q534" s="34"/>
      <c r="T534" s="34"/>
      <c r="U534" s="34"/>
    </row>
    <row r="535" spans="17:21" ht="15.75" customHeight="1">
      <c r="Q535" s="34"/>
      <c r="T535" s="34"/>
      <c r="U535" s="34"/>
    </row>
    <row r="536" spans="17:21" ht="15.75" customHeight="1">
      <c r="Q536" s="34"/>
      <c r="T536" s="34"/>
      <c r="U536" s="34"/>
    </row>
    <row r="537" spans="17:21" ht="15.75" customHeight="1">
      <c r="Q537" s="34"/>
      <c r="T537" s="34"/>
      <c r="U537" s="34"/>
    </row>
    <row r="538" spans="17:21" ht="15.75" customHeight="1">
      <c r="Q538" s="34"/>
      <c r="T538" s="34"/>
      <c r="U538" s="34"/>
    </row>
    <row r="539" spans="17:21" ht="15.75" customHeight="1">
      <c r="Q539" s="34"/>
      <c r="T539" s="34"/>
      <c r="U539" s="34"/>
    </row>
    <row r="540" spans="17:21" ht="15.75" customHeight="1">
      <c r="Q540" s="34"/>
      <c r="T540" s="34"/>
      <c r="U540" s="34"/>
    </row>
    <row r="541" spans="17:21" ht="15.75" customHeight="1">
      <c r="Q541" s="34"/>
      <c r="T541" s="34"/>
      <c r="U541" s="34"/>
    </row>
    <row r="542" spans="17:21" ht="15.75" customHeight="1">
      <c r="Q542" s="34"/>
      <c r="T542" s="34"/>
      <c r="U542" s="34"/>
    </row>
    <row r="543" spans="17:21" ht="15.75" customHeight="1">
      <c r="Q543" s="34"/>
      <c r="T543" s="34"/>
      <c r="U543" s="34"/>
    </row>
    <row r="544" spans="17:21" ht="15.75" customHeight="1">
      <c r="Q544" s="34"/>
      <c r="T544" s="34"/>
      <c r="U544" s="34"/>
    </row>
    <row r="545" spans="17:21" ht="15.75" customHeight="1">
      <c r="Q545" s="34"/>
      <c r="T545" s="34"/>
      <c r="U545" s="34"/>
    </row>
    <row r="546" spans="17:21" ht="15.75" customHeight="1">
      <c r="Q546" s="34"/>
      <c r="T546" s="34"/>
      <c r="U546" s="34"/>
    </row>
    <row r="547" spans="17:21" ht="15.75" customHeight="1">
      <c r="Q547" s="34"/>
      <c r="T547" s="34"/>
      <c r="U547" s="34"/>
    </row>
    <row r="548" spans="17:21" ht="15.75" customHeight="1">
      <c r="Q548" s="34"/>
      <c r="T548" s="34"/>
      <c r="U548" s="34"/>
    </row>
    <row r="549" spans="17:21" ht="15.75" customHeight="1">
      <c r="Q549" s="34"/>
      <c r="T549" s="34"/>
      <c r="U549" s="34"/>
    </row>
    <row r="550" spans="17:21" ht="15.75" customHeight="1">
      <c r="Q550" s="34"/>
      <c r="T550" s="34"/>
      <c r="U550" s="34"/>
    </row>
    <row r="551" spans="17:21" ht="15.75" customHeight="1">
      <c r="Q551" s="34"/>
      <c r="T551" s="34"/>
      <c r="U551" s="34"/>
    </row>
    <row r="552" spans="17:21" ht="15.75" customHeight="1">
      <c r="Q552" s="34"/>
      <c r="T552" s="34"/>
      <c r="U552" s="34"/>
    </row>
    <row r="553" spans="17:21" ht="15.75" customHeight="1">
      <c r="Q553" s="34"/>
      <c r="T553" s="34"/>
      <c r="U553" s="34"/>
    </row>
    <row r="554" spans="17:21" ht="15.75" customHeight="1">
      <c r="Q554" s="34"/>
      <c r="T554" s="34"/>
      <c r="U554" s="34"/>
    </row>
    <row r="555" spans="17:21" ht="15.75" customHeight="1">
      <c r="Q555" s="34"/>
      <c r="T555" s="34"/>
      <c r="U555" s="34"/>
    </row>
    <row r="556" spans="17:21" ht="15.75" customHeight="1">
      <c r="Q556" s="34"/>
      <c r="T556" s="34"/>
      <c r="U556" s="34"/>
    </row>
    <row r="557" spans="17:21" ht="15.75" customHeight="1">
      <c r="Q557" s="34"/>
      <c r="T557" s="34"/>
      <c r="U557" s="34"/>
    </row>
    <row r="558" spans="17:21" ht="15.75" customHeight="1">
      <c r="Q558" s="34"/>
      <c r="T558" s="34"/>
      <c r="U558" s="34"/>
    </row>
    <row r="559" spans="17:21" ht="15.75" customHeight="1">
      <c r="Q559" s="34"/>
      <c r="T559" s="34"/>
      <c r="U559" s="34"/>
    </row>
    <row r="560" spans="17:21" ht="15.75" customHeight="1">
      <c r="Q560" s="34"/>
      <c r="T560" s="34"/>
      <c r="U560" s="34"/>
    </row>
    <row r="561" spans="17:21" ht="15.75" customHeight="1">
      <c r="Q561" s="34"/>
      <c r="T561" s="34"/>
      <c r="U561" s="34"/>
    </row>
    <row r="562" spans="17:21" ht="15.75" customHeight="1">
      <c r="Q562" s="34"/>
      <c r="T562" s="34"/>
      <c r="U562" s="34"/>
    </row>
    <row r="563" spans="17:21" ht="15.75" customHeight="1">
      <c r="Q563" s="34"/>
      <c r="T563" s="34"/>
      <c r="U563" s="34"/>
    </row>
    <row r="564" spans="17:21" ht="15.75" customHeight="1">
      <c r="Q564" s="34"/>
      <c r="T564" s="34"/>
      <c r="U564" s="34"/>
    </row>
    <row r="565" spans="17:21" ht="15.75" customHeight="1">
      <c r="Q565" s="34"/>
      <c r="T565" s="34"/>
      <c r="U565" s="34"/>
    </row>
    <row r="566" spans="17:21" ht="15.75" customHeight="1">
      <c r="Q566" s="34"/>
      <c r="T566" s="34"/>
      <c r="U566" s="34"/>
    </row>
    <row r="567" spans="17:21" ht="15.75" customHeight="1">
      <c r="Q567" s="34"/>
      <c r="T567" s="34"/>
      <c r="U567" s="34"/>
    </row>
    <row r="568" spans="17:21" ht="15.75" customHeight="1">
      <c r="Q568" s="34"/>
      <c r="T568" s="34"/>
      <c r="U568" s="34"/>
    </row>
    <row r="569" spans="17:21" ht="15.75" customHeight="1">
      <c r="Q569" s="34"/>
      <c r="T569" s="34"/>
      <c r="U569" s="34"/>
    </row>
    <row r="570" spans="17:21" ht="15.75" customHeight="1">
      <c r="Q570" s="34"/>
      <c r="T570" s="34"/>
      <c r="U570" s="34"/>
    </row>
    <row r="571" spans="17:21" ht="15.75" customHeight="1">
      <c r="Q571" s="34"/>
      <c r="T571" s="34"/>
      <c r="U571" s="34"/>
    </row>
    <row r="572" spans="17:21" ht="15.75" customHeight="1">
      <c r="Q572" s="34"/>
      <c r="T572" s="34"/>
      <c r="U572" s="34"/>
    </row>
    <row r="573" spans="17:21" ht="15.75" customHeight="1">
      <c r="Q573" s="34"/>
      <c r="T573" s="34"/>
      <c r="U573" s="34"/>
    </row>
    <row r="574" spans="17:21" ht="15.75" customHeight="1">
      <c r="Q574" s="34"/>
      <c r="T574" s="34"/>
      <c r="U574" s="34"/>
    </row>
    <row r="575" spans="17:21" ht="15.75" customHeight="1">
      <c r="Q575" s="34"/>
      <c r="T575" s="34"/>
      <c r="U575" s="34"/>
    </row>
    <row r="576" spans="17:21" ht="15.75" customHeight="1">
      <c r="Q576" s="34"/>
      <c r="T576" s="34"/>
      <c r="U576" s="34"/>
    </row>
    <row r="577" spans="17:21" ht="15.75" customHeight="1">
      <c r="Q577" s="34"/>
      <c r="T577" s="34"/>
      <c r="U577" s="34"/>
    </row>
    <row r="578" spans="17:21" ht="15.75" customHeight="1">
      <c r="Q578" s="34"/>
      <c r="T578" s="34"/>
      <c r="U578" s="34"/>
    </row>
    <row r="579" spans="17:21" ht="15.75" customHeight="1">
      <c r="Q579" s="34"/>
      <c r="T579" s="34"/>
      <c r="U579" s="34"/>
    </row>
    <row r="580" spans="17:21" ht="15.75" customHeight="1">
      <c r="Q580" s="34"/>
      <c r="T580" s="34"/>
      <c r="U580" s="34"/>
    </row>
    <row r="581" spans="17:21" ht="15.75" customHeight="1">
      <c r="Q581" s="34"/>
      <c r="T581" s="34"/>
      <c r="U581" s="34"/>
    </row>
    <row r="582" spans="17:21" ht="15.75" customHeight="1">
      <c r="Q582" s="34"/>
      <c r="T582" s="34"/>
      <c r="U582" s="34"/>
    </row>
    <row r="583" spans="17:21" ht="15.75" customHeight="1">
      <c r="Q583" s="34"/>
      <c r="T583" s="34"/>
      <c r="U583" s="34"/>
    </row>
    <row r="584" spans="17:21" ht="15.75" customHeight="1">
      <c r="Q584" s="34"/>
      <c r="T584" s="34"/>
      <c r="U584" s="34"/>
    </row>
    <row r="585" spans="17:21" ht="15.75" customHeight="1">
      <c r="Q585" s="34"/>
      <c r="T585" s="34"/>
      <c r="U585" s="34"/>
    </row>
    <row r="586" spans="17:21" ht="15.75" customHeight="1">
      <c r="Q586" s="34"/>
      <c r="T586" s="34"/>
      <c r="U586" s="34"/>
    </row>
    <row r="587" spans="17:21" ht="15.75" customHeight="1">
      <c r="Q587" s="34"/>
      <c r="T587" s="34"/>
      <c r="U587" s="34"/>
    </row>
    <row r="588" spans="17:21" ht="15.75" customHeight="1">
      <c r="Q588" s="34"/>
      <c r="T588" s="34"/>
      <c r="U588" s="34"/>
    </row>
    <row r="589" spans="17:21" ht="15.75" customHeight="1">
      <c r="Q589" s="34"/>
      <c r="T589" s="34"/>
      <c r="U589" s="34"/>
    </row>
    <row r="590" spans="17:21" ht="15.75" customHeight="1">
      <c r="Q590" s="34"/>
      <c r="T590" s="34"/>
      <c r="U590" s="34"/>
    </row>
    <row r="591" spans="17:21" ht="15.75" customHeight="1">
      <c r="Q591" s="34"/>
      <c r="T591" s="34"/>
      <c r="U591" s="34"/>
    </row>
    <row r="592" spans="17:21" ht="15.75" customHeight="1">
      <c r="Q592" s="34"/>
      <c r="T592" s="34"/>
      <c r="U592" s="34"/>
    </row>
    <row r="593" spans="17:21" ht="15.75" customHeight="1">
      <c r="Q593" s="34"/>
      <c r="T593" s="34"/>
      <c r="U593" s="34"/>
    </row>
    <row r="594" spans="17:21" ht="15.75" customHeight="1">
      <c r="Q594" s="34"/>
      <c r="T594" s="34"/>
      <c r="U594" s="34"/>
    </row>
    <row r="595" spans="17:21" ht="15.75" customHeight="1">
      <c r="Q595" s="34"/>
      <c r="T595" s="34"/>
      <c r="U595" s="34"/>
    </row>
    <row r="596" spans="17:21" ht="15.75" customHeight="1">
      <c r="Q596" s="34"/>
      <c r="T596" s="34"/>
      <c r="U596" s="34"/>
    </row>
    <row r="597" spans="17:21" ht="15.75" customHeight="1">
      <c r="Q597" s="34"/>
      <c r="T597" s="34"/>
      <c r="U597" s="34"/>
    </row>
    <row r="598" spans="17:21" ht="15.75" customHeight="1">
      <c r="Q598" s="34"/>
      <c r="T598" s="34"/>
      <c r="U598" s="34"/>
    </row>
    <row r="599" spans="17:21" ht="15.75" customHeight="1">
      <c r="Q599" s="34"/>
      <c r="T599" s="34"/>
      <c r="U599" s="34"/>
    </row>
    <row r="600" spans="17:21" ht="15.75" customHeight="1">
      <c r="Q600" s="34"/>
      <c r="T600" s="34"/>
      <c r="U600" s="34"/>
    </row>
    <row r="601" spans="17:21" ht="15.75" customHeight="1">
      <c r="Q601" s="34"/>
      <c r="T601" s="34"/>
      <c r="U601" s="34"/>
    </row>
    <row r="602" spans="17:21" ht="15.75" customHeight="1">
      <c r="Q602" s="34"/>
      <c r="T602" s="34"/>
      <c r="U602" s="34"/>
    </row>
    <row r="603" spans="17:21" ht="15.75" customHeight="1">
      <c r="Q603" s="34"/>
      <c r="T603" s="34"/>
      <c r="U603" s="34"/>
    </row>
    <row r="604" spans="17:21" ht="15.75" customHeight="1">
      <c r="Q604" s="34"/>
      <c r="T604" s="34"/>
      <c r="U604" s="34"/>
    </row>
    <row r="605" spans="17:21" ht="15.75" customHeight="1">
      <c r="Q605" s="34"/>
      <c r="T605" s="34"/>
      <c r="U605" s="34"/>
    </row>
    <row r="606" spans="17:21" ht="15.75" customHeight="1">
      <c r="Q606" s="34"/>
      <c r="T606" s="34"/>
      <c r="U606" s="34"/>
    </row>
    <row r="607" spans="17:21" ht="15.75" customHeight="1">
      <c r="Q607" s="34"/>
      <c r="T607" s="34"/>
      <c r="U607" s="34"/>
    </row>
    <row r="608" spans="17:21" ht="15.75" customHeight="1">
      <c r="Q608" s="34"/>
      <c r="T608" s="34"/>
      <c r="U608" s="34"/>
    </row>
    <row r="609" spans="17:21" ht="15.75" customHeight="1">
      <c r="Q609" s="34"/>
      <c r="T609" s="34"/>
      <c r="U609" s="34"/>
    </row>
    <row r="610" spans="17:21" ht="15.75" customHeight="1">
      <c r="Q610" s="34"/>
      <c r="T610" s="34"/>
      <c r="U610" s="34"/>
    </row>
    <row r="611" spans="17:21" ht="15.75" customHeight="1">
      <c r="Q611" s="34"/>
      <c r="T611" s="34"/>
      <c r="U611" s="34"/>
    </row>
    <row r="612" spans="17:21" ht="15.75" customHeight="1">
      <c r="Q612" s="34"/>
      <c r="T612" s="34"/>
      <c r="U612" s="34"/>
    </row>
    <row r="613" spans="17:21" ht="15.75" customHeight="1">
      <c r="Q613" s="34"/>
      <c r="T613" s="34"/>
      <c r="U613" s="34"/>
    </row>
    <row r="614" spans="17:21" ht="15.75" customHeight="1">
      <c r="Q614" s="34"/>
      <c r="T614" s="34"/>
      <c r="U614" s="34"/>
    </row>
    <row r="615" spans="17:21" ht="15.75" customHeight="1">
      <c r="Q615" s="34"/>
      <c r="T615" s="34"/>
      <c r="U615" s="34"/>
    </row>
    <row r="616" spans="17:21" ht="15.75" customHeight="1">
      <c r="Q616" s="34"/>
      <c r="T616" s="34"/>
      <c r="U616" s="34"/>
    </row>
    <row r="617" spans="17:21" ht="15.75" customHeight="1">
      <c r="Q617" s="34"/>
      <c r="T617" s="34"/>
      <c r="U617" s="34"/>
    </row>
    <row r="618" spans="17:21" ht="15.75" customHeight="1">
      <c r="Q618" s="34"/>
      <c r="T618" s="34"/>
      <c r="U618" s="34"/>
    </row>
    <row r="619" spans="17:21" ht="15.75" customHeight="1">
      <c r="Q619" s="34"/>
      <c r="T619" s="34"/>
      <c r="U619" s="34"/>
    </row>
    <row r="620" spans="17:21" ht="15.75" customHeight="1">
      <c r="Q620" s="34"/>
      <c r="T620" s="34"/>
      <c r="U620" s="34"/>
    </row>
    <row r="621" spans="17:21" ht="15.75" customHeight="1">
      <c r="Q621" s="34"/>
      <c r="T621" s="34"/>
      <c r="U621" s="34"/>
    </row>
    <row r="622" spans="17:21" ht="15.75" customHeight="1">
      <c r="Q622" s="34"/>
      <c r="T622" s="34"/>
      <c r="U622" s="34"/>
    </row>
    <row r="623" spans="17:21" ht="15.75" customHeight="1">
      <c r="Q623" s="34"/>
      <c r="T623" s="34"/>
      <c r="U623" s="34"/>
    </row>
    <row r="624" spans="17:21" ht="15.75" customHeight="1">
      <c r="Q624" s="34"/>
      <c r="T624" s="34"/>
      <c r="U624" s="34"/>
    </row>
    <row r="625" spans="17:21" ht="15.75" customHeight="1">
      <c r="Q625" s="34"/>
      <c r="T625" s="34"/>
      <c r="U625" s="34"/>
    </row>
    <row r="626" spans="17:21" ht="15.75" customHeight="1">
      <c r="Q626" s="34"/>
      <c r="T626" s="34"/>
      <c r="U626" s="34"/>
    </row>
    <row r="627" spans="17:21" ht="15.75" customHeight="1">
      <c r="Q627" s="34"/>
      <c r="T627" s="34"/>
      <c r="U627" s="34"/>
    </row>
    <row r="628" spans="17:21" ht="15.75" customHeight="1">
      <c r="Q628" s="34"/>
      <c r="T628" s="34"/>
      <c r="U628" s="34"/>
    </row>
    <row r="629" spans="17:21" ht="15.75" customHeight="1">
      <c r="Q629" s="34"/>
      <c r="T629" s="34"/>
      <c r="U629" s="34"/>
    </row>
    <row r="630" spans="17:21" ht="15.75" customHeight="1">
      <c r="Q630" s="34"/>
      <c r="T630" s="34"/>
      <c r="U630" s="34"/>
    </row>
    <row r="631" spans="17:21" ht="15.75" customHeight="1">
      <c r="Q631" s="34"/>
      <c r="T631" s="34"/>
      <c r="U631" s="34"/>
    </row>
    <row r="632" spans="17:21" ht="15.75" customHeight="1">
      <c r="Q632" s="34"/>
      <c r="T632" s="34"/>
      <c r="U632" s="34"/>
    </row>
    <row r="633" spans="17:21" ht="15.75" customHeight="1">
      <c r="Q633" s="34"/>
      <c r="T633" s="34"/>
      <c r="U633" s="34"/>
    </row>
    <row r="634" spans="17:21" ht="15.75" customHeight="1">
      <c r="Q634" s="34"/>
      <c r="T634" s="34"/>
      <c r="U634" s="34"/>
    </row>
    <row r="635" spans="17:21" ht="15.75" customHeight="1">
      <c r="Q635" s="34"/>
      <c r="T635" s="34"/>
      <c r="U635" s="34"/>
    </row>
    <row r="636" spans="17:21" ht="15.75" customHeight="1">
      <c r="Q636" s="34"/>
      <c r="T636" s="34"/>
      <c r="U636" s="34"/>
    </row>
    <row r="637" spans="17:21" ht="15.75" customHeight="1">
      <c r="Q637" s="34"/>
      <c r="T637" s="34"/>
      <c r="U637" s="34"/>
    </row>
    <row r="638" spans="17:21" ht="15.75" customHeight="1">
      <c r="Q638" s="34"/>
      <c r="T638" s="34"/>
      <c r="U638" s="34"/>
    </row>
    <row r="639" spans="17:21" ht="15.75" customHeight="1">
      <c r="Q639" s="34"/>
      <c r="T639" s="34"/>
      <c r="U639" s="34"/>
    </row>
    <row r="640" spans="17:21" ht="15.75" customHeight="1">
      <c r="Q640" s="34"/>
      <c r="T640" s="34"/>
      <c r="U640" s="34"/>
    </row>
    <row r="641" spans="17:21" ht="15.75" customHeight="1">
      <c r="Q641" s="34"/>
      <c r="T641" s="34"/>
      <c r="U641" s="34"/>
    </row>
    <row r="642" spans="17:21" ht="15.75" customHeight="1">
      <c r="Q642" s="34"/>
      <c r="T642" s="34"/>
      <c r="U642" s="34"/>
    </row>
    <row r="643" spans="17:21" ht="15.75" customHeight="1">
      <c r="Q643" s="34"/>
      <c r="T643" s="34"/>
      <c r="U643" s="34"/>
    </row>
    <row r="644" spans="17:21" ht="15.75" customHeight="1">
      <c r="Q644" s="34"/>
      <c r="T644" s="34"/>
      <c r="U644" s="34"/>
    </row>
    <row r="645" spans="17:21" ht="15.75" customHeight="1">
      <c r="Q645" s="34"/>
      <c r="T645" s="34"/>
      <c r="U645" s="34"/>
    </row>
    <row r="646" spans="17:21" ht="15.75" customHeight="1">
      <c r="Q646" s="34"/>
      <c r="T646" s="34"/>
      <c r="U646" s="34"/>
    </row>
    <row r="647" spans="17:21" ht="15.75" customHeight="1">
      <c r="Q647" s="34"/>
      <c r="T647" s="34"/>
      <c r="U647" s="34"/>
    </row>
    <row r="648" spans="17:21" ht="15.75" customHeight="1">
      <c r="Q648" s="34"/>
      <c r="T648" s="34"/>
      <c r="U648" s="34"/>
    </row>
    <row r="649" spans="17:21" ht="15.75" customHeight="1">
      <c r="Q649" s="34"/>
      <c r="T649" s="34"/>
      <c r="U649" s="34"/>
    </row>
    <row r="650" spans="17:21" ht="15.75" customHeight="1">
      <c r="Q650" s="34"/>
      <c r="T650" s="34"/>
      <c r="U650" s="34"/>
    </row>
    <row r="651" spans="17:21" ht="15.75" customHeight="1">
      <c r="Q651" s="34"/>
      <c r="T651" s="34"/>
      <c r="U651" s="34"/>
    </row>
    <row r="652" spans="17:21" ht="15.75" customHeight="1">
      <c r="Q652" s="34"/>
      <c r="T652" s="34"/>
      <c r="U652" s="34"/>
    </row>
    <row r="653" spans="17:21" ht="15.75" customHeight="1">
      <c r="Q653" s="34"/>
      <c r="T653" s="34"/>
      <c r="U653" s="34"/>
    </row>
    <row r="654" spans="17:21" ht="15.75" customHeight="1">
      <c r="Q654" s="34"/>
      <c r="T654" s="34"/>
      <c r="U654" s="34"/>
    </row>
    <row r="655" spans="17:21" ht="15.75" customHeight="1">
      <c r="Q655" s="34"/>
      <c r="T655" s="34"/>
      <c r="U655" s="34"/>
    </row>
    <row r="656" spans="17:21" ht="15.75" customHeight="1">
      <c r="Q656" s="34"/>
      <c r="T656" s="34"/>
      <c r="U656" s="34"/>
    </row>
    <row r="657" spans="17:21" ht="15.75" customHeight="1">
      <c r="Q657" s="34"/>
      <c r="T657" s="34"/>
      <c r="U657" s="34"/>
    </row>
    <row r="658" spans="17:21" ht="15.75" customHeight="1">
      <c r="Q658" s="34"/>
      <c r="T658" s="34"/>
      <c r="U658" s="34"/>
    </row>
    <row r="659" spans="17:21" ht="15.75" customHeight="1">
      <c r="Q659" s="34"/>
      <c r="T659" s="34"/>
      <c r="U659" s="34"/>
    </row>
    <row r="660" spans="17:21" ht="15.75" customHeight="1">
      <c r="Q660" s="34"/>
      <c r="T660" s="34"/>
      <c r="U660" s="34"/>
    </row>
    <row r="661" spans="17:21" ht="15.75" customHeight="1">
      <c r="Q661" s="34"/>
      <c r="T661" s="34"/>
      <c r="U661" s="34"/>
    </row>
    <row r="662" spans="17:21" ht="15.75" customHeight="1">
      <c r="Q662" s="34"/>
      <c r="T662" s="34"/>
      <c r="U662" s="34"/>
    </row>
    <row r="663" spans="17:21" ht="15.75" customHeight="1">
      <c r="Q663" s="34"/>
      <c r="T663" s="34"/>
      <c r="U663" s="34"/>
    </row>
    <row r="664" spans="17:21" ht="15.75" customHeight="1">
      <c r="Q664" s="34"/>
      <c r="T664" s="34"/>
      <c r="U664" s="34"/>
    </row>
    <row r="665" spans="17:21" ht="15.75" customHeight="1">
      <c r="Q665" s="34"/>
      <c r="T665" s="34"/>
      <c r="U665" s="34"/>
    </row>
    <row r="666" spans="17:21" ht="15.75" customHeight="1">
      <c r="Q666" s="34"/>
      <c r="T666" s="34"/>
      <c r="U666" s="34"/>
    </row>
    <row r="667" spans="17:21" ht="15.75" customHeight="1">
      <c r="Q667" s="34"/>
      <c r="T667" s="34"/>
      <c r="U667" s="34"/>
    </row>
    <row r="668" spans="17:21" ht="15.75" customHeight="1">
      <c r="Q668" s="34"/>
      <c r="T668" s="34"/>
      <c r="U668" s="34"/>
    </row>
    <row r="669" spans="17:21" ht="15.75" customHeight="1">
      <c r="Q669" s="34"/>
      <c r="T669" s="34"/>
      <c r="U669" s="34"/>
    </row>
    <row r="670" spans="17:21" ht="15.75" customHeight="1">
      <c r="Q670" s="34"/>
      <c r="T670" s="34"/>
      <c r="U670" s="34"/>
    </row>
    <row r="671" spans="17:21" ht="15.75" customHeight="1">
      <c r="Q671" s="34"/>
      <c r="T671" s="34"/>
      <c r="U671" s="34"/>
    </row>
    <row r="672" spans="17:21" ht="15.75" customHeight="1">
      <c r="Q672" s="34"/>
      <c r="T672" s="34"/>
      <c r="U672" s="34"/>
    </row>
    <row r="673" spans="17:21" ht="15.75" customHeight="1">
      <c r="Q673" s="34"/>
      <c r="T673" s="34"/>
      <c r="U673" s="34"/>
    </row>
    <row r="674" spans="17:21" ht="15.75" customHeight="1">
      <c r="Q674" s="34"/>
      <c r="T674" s="34"/>
      <c r="U674" s="34"/>
    </row>
    <row r="675" spans="17:21" ht="15.75" customHeight="1">
      <c r="Q675" s="34"/>
      <c r="T675" s="34"/>
      <c r="U675" s="34"/>
    </row>
    <row r="676" spans="17:21" ht="15.75" customHeight="1">
      <c r="Q676" s="34"/>
      <c r="T676" s="34"/>
      <c r="U676" s="34"/>
    </row>
    <row r="677" spans="17:21" ht="15.75" customHeight="1">
      <c r="Q677" s="34"/>
      <c r="T677" s="34"/>
      <c r="U677" s="34"/>
    </row>
    <row r="678" spans="17:21" ht="15.75" customHeight="1">
      <c r="Q678" s="34"/>
      <c r="T678" s="34"/>
      <c r="U678" s="34"/>
    </row>
    <row r="679" spans="17:21" ht="15.75" customHeight="1">
      <c r="Q679" s="34"/>
      <c r="T679" s="34"/>
      <c r="U679" s="34"/>
    </row>
    <row r="680" spans="17:21" ht="15.75" customHeight="1">
      <c r="Q680" s="34"/>
      <c r="T680" s="34"/>
      <c r="U680" s="34"/>
    </row>
    <row r="681" spans="17:21" ht="15.75" customHeight="1">
      <c r="Q681" s="34"/>
      <c r="T681" s="34"/>
      <c r="U681" s="34"/>
    </row>
    <row r="682" spans="17:21" ht="15.75" customHeight="1">
      <c r="Q682" s="34"/>
      <c r="T682" s="34"/>
      <c r="U682" s="34"/>
    </row>
    <row r="683" spans="17:21" ht="15.75" customHeight="1">
      <c r="Q683" s="34"/>
      <c r="T683" s="34"/>
      <c r="U683" s="34"/>
    </row>
    <row r="684" spans="17:21" ht="15.75" customHeight="1">
      <c r="Q684" s="34"/>
      <c r="T684" s="34"/>
      <c r="U684" s="34"/>
    </row>
    <row r="685" spans="17:21" ht="15.75" customHeight="1">
      <c r="Q685" s="34"/>
      <c r="T685" s="34"/>
      <c r="U685" s="34"/>
    </row>
    <row r="686" spans="17:21" ht="15.75" customHeight="1">
      <c r="Q686" s="34"/>
      <c r="T686" s="34"/>
      <c r="U686" s="34"/>
    </row>
    <row r="687" spans="17:21" ht="15.75" customHeight="1">
      <c r="Q687" s="34"/>
      <c r="T687" s="34"/>
      <c r="U687" s="34"/>
    </row>
    <row r="688" spans="17:21" ht="15.75" customHeight="1">
      <c r="Q688" s="34"/>
      <c r="T688" s="34"/>
      <c r="U688" s="34"/>
    </row>
    <row r="689" spans="17:21" ht="15.75" customHeight="1">
      <c r="Q689" s="34"/>
      <c r="T689" s="34"/>
      <c r="U689" s="34"/>
    </row>
    <row r="690" spans="17:21" ht="15.75" customHeight="1">
      <c r="Q690" s="34"/>
      <c r="T690" s="34"/>
      <c r="U690" s="34"/>
    </row>
    <row r="691" spans="17:21" ht="15.75" customHeight="1">
      <c r="Q691" s="34"/>
      <c r="T691" s="34"/>
      <c r="U691" s="34"/>
    </row>
    <row r="692" spans="17:21" ht="15.75" customHeight="1">
      <c r="Q692" s="34"/>
      <c r="T692" s="34"/>
      <c r="U692" s="34"/>
    </row>
    <row r="693" spans="17:21" ht="15.75" customHeight="1">
      <c r="Q693" s="34"/>
      <c r="T693" s="34"/>
      <c r="U693" s="34"/>
    </row>
    <row r="694" spans="17:21" ht="15.75" customHeight="1">
      <c r="Q694" s="34"/>
      <c r="T694" s="34"/>
      <c r="U694" s="34"/>
    </row>
    <row r="695" spans="17:21" ht="15.75" customHeight="1">
      <c r="Q695" s="34"/>
      <c r="T695" s="34"/>
      <c r="U695" s="34"/>
    </row>
    <row r="696" spans="17:21" ht="15.75" customHeight="1">
      <c r="Q696" s="34"/>
      <c r="T696" s="34"/>
      <c r="U696" s="34"/>
    </row>
    <row r="697" spans="17:21" ht="15.75" customHeight="1">
      <c r="Q697" s="34"/>
      <c r="T697" s="34"/>
      <c r="U697" s="34"/>
    </row>
    <row r="698" spans="17:21" ht="15.75" customHeight="1">
      <c r="Q698" s="34"/>
      <c r="T698" s="34"/>
      <c r="U698" s="34"/>
    </row>
    <row r="699" spans="17:21" ht="15.75" customHeight="1">
      <c r="Q699" s="34"/>
      <c r="T699" s="34"/>
      <c r="U699" s="34"/>
    </row>
    <row r="700" spans="17:21" ht="15.75" customHeight="1">
      <c r="Q700" s="34"/>
      <c r="T700" s="34"/>
      <c r="U700" s="34"/>
    </row>
    <row r="701" spans="17:21" ht="15.75" customHeight="1">
      <c r="Q701" s="34"/>
      <c r="T701" s="34"/>
      <c r="U701" s="34"/>
    </row>
    <row r="702" spans="17:21" ht="15.75" customHeight="1">
      <c r="Q702" s="34"/>
      <c r="T702" s="34"/>
      <c r="U702" s="34"/>
    </row>
    <row r="703" spans="17:21" ht="15.75" customHeight="1">
      <c r="Q703" s="34"/>
      <c r="T703" s="34"/>
      <c r="U703" s="34"/>
    </row>
    <row r="704" spans="17:21" ht="15.75" customHeight="1">
      <c r="Q704" s="34"/>
      <c r="T704" s="34"/>
      <c r="U704" s="34"/>
    </row>
    <row r="705" spans="17:21" ht="15.75" customHeight="1">
      <c r="Q705" s="34"/>
      <c r="T705" s="34"/>
      <c r="U705" s="34"/>
    </row>
    <row r="706" spans="17:21" ht="15.75" customHeight="1">
      <c r="Q706" s="34"/>
      <c r="T706" s="34"/>
      <c r="U706" s="34"/>
    </row>
    <row r="707" spans="17:21" ht="15.75" customHeight="1">
      <c r="Q707" s="34"/>
      <c r="T707" s="34"/>
      <c r="U707" s="34"/>
    </row>
    <row r="708" spans="17:21" ht="15.75" customHeight="1">
      <c r="Q708" s="34"/>
      <c r="T708" s="34"/>
      <c r="U708" s="34"/>
    </row>
    <row r="709" spans="17:21" ht="15.75" customHeight="1">
      <c r="Q709" s="34"/>
      <c r="T709" s="34"/>
      <c r="U709" s="34"/>
    </row>
    <row r="710" spans="17:21" ht="15.75" customHeight="1">
      <c r="Q710" s="34"/>
      <c r="T710" s="34"/>
      <c r="U710" s="34"/>
    </row>
    <row r="711" spans="17:21" ht="15.75" customHeight="1">
      <c r="Q711" s="34"/>
      <c r="T711" s="34"/>
      <c r="U711" s="34"/>
    </row>
    <row r="712" spans="17:21" ht="15.75" customHeight="1">
      <c r="Q712" s="34"/>
      <c r="T712" s="34"/>
      <c r="U712" s="34"/>
    </row>
    <row r="713" spans="17:21" ht="15.75" customHeight="1">
      <c r="Q713" s="34"/>
      <c r="T713" s="34"/>
      <c r="U713" s="34"/>
    </row>
    <row r="714" spans="17:21" ht="15.75" customHeight="1">
      <c r="Q714" s="34"/>
      <c r="T714" s="34"/>
      <c r="U714" s="34"/>
    </row>
    <row r="715" spans="17:21" ht="15.75" customHeight="1">
      <c r="Q715" s="34"/>
      <c r="T715" s="34"/>
      <c r="U715" s="34"/>
    </row>
    <row r="716" spans="17:21" ht="15.75" customHeight="1">
      <c r="Q716" s="34"/>
      <c r="T716" s="34"/>
      <c r="U716" s="34"/>
    </row>
    <row r="717" spans="17:21" ht="15.75" customHeight="1">
      <c r="Q717" s="34"/>
      <c r="T717" s="34"/>
      <c r="U717" s="34"/>
    </row>
    <row r="718" spans="17:21" ht="15.75" customHeight="1">
      <c r="Q718" s="34"/>
      <c r="T718" s="34"/>
      <c r="U718" s="34"/>
    </row>
    <row r="719" spans="17:21" ht="15.75" customHeight="1">
      <c r="Q719" s="34"/>
      <c r="T719" s="34"/>
      <c r="U719" s="34"/>
    </row>
    <row r="720" spans="17:21" ht="15.75" customHeight="1">
      <c r="Q720" s="34"/>
      <c r="T720" s="34"/>
      <c r="U720" s="34"/>
    </row>
    <row r="721" spans="17:21" ht="15.75" customHeight="1">
      <c r="Q721" s="34"/>
      <c r="T721" s="34"/>
      <c r="U721" s="34"/>
    </row>
    <row r="722" spans="17:21" ht="15.75" customHeight="1">
      <c r="Q722" s="34"/>
      <c r="T722" s="34"/>
      <c r="U722" s="34"/>
    </row>
    <row r="723" spans="17:21" ht="15.75" customHeight="1">
      <c r="Q723" s="34"/>
      <c r="T723" s="34"/>
      <c r="U723" s="34"/>
    </row>
    <row r="724" spans="17:21" ht="15.75" customHeight="1">
      <c r="Q724" s="34"/>
      <c r="T724" s="34"/>
      <c r="U724" s="34"/>
    </row>
    <row r="725" spans="17:21" ht="15.75" customHeight="1">
      <c r="Q725" s="34"/>
      <c r="T725" s="34"/>
      <c r="U725" s="34"/>
    </row>
    <row r="726" spans="17:21" ht="15.75" customHeight="1">
      <c r="Q726" s="34"/>
      <c r="T726" s="34"/>
      <c r="U726" s="34"/>
    </row>
    <row r="727" spans="17:21" ht="15.75" customHeight="1">
      <c r="Q727" s="34"/>
      <c r="T727" s="34"/>
      <c r="U727" s="34"/>
    </row>
    <row r="728" spans="17:21" ht="15.75" customHeight="1">
      <c r="Q728" s="34"/>
      <c r="T728" s="34"/>
      <c r="U728" s="34"/>
    </row>
    <row r="729" spans="17:21" ht="15.75" customHeight="1">
      <c r="Q729" s="34"/>
      <c r="T729" s="34"/>
      <c r="U729" s="34"/>
    </row>
    <row r="730" spans="17:21" ht="15.75" customHeight="1">
      <c r="Q730" s="34"/>
      <c r="T730" s="34"/>
      <c r="U730" s="34"/>
    </row>
    <row r="731" spans="17:21" ht="15.75" customHeight="1">
      <c r="Q731" s="34"/>
      <c r="T731" s="34"/>
      <c r="U731" s="34"/>
    </row>
    <row r="732" spans="17:21" ht="15.75" customHeight="1">
      <c r="Q732" s="34"/>
      <c r="T732" s="34"/>
      <c r="U732" s="34"/>
    </row>
    <row r="733" spans="17:21" ht="15.75" customHeight="1">
      <c r="Q733" s="34"/>
      <c r="T733" s="34"/>
      <c r="U733" s="34"/>
    </row>
    <row r="734" spans="17:21" ht="15.75" customHeight="1">
      <c r="Q734" s="34"/>
      <c r="T734" s="34"/>
      <c r="U734" s="34"/>
    </row>
    <row r="735" spans="17:21" ht="15.75" customHeight="1">
      <c r="Q735" s="34"/>
      <c r="T735" s="34"/>
      <c r="U735" s="34"/>
    </row>
    <row r="736" spans="17:21" ht="15.75" customHeight="1">
      <c r="Q736" s="34"/>
      <c r="T736" s="34"/>
      <c r="U736" s="34"/>
    </row>
    <row r="737" spans="17:21" ht="15.75" customHeight="1">
      <c r="Q737" s="34"/>
      <c r="T737" s="34"/>
      <c r="U737" s="34"/>
    </row>
    <row r="738" spans="17:21" ht="15.75" customHeight="1">
      <c r="Q738" s="34"/>
      <c r="T738" s="34"/>
      <c r="U738" s="34"/>
    </row>
    <row r="739" spans="17:21" ht="15.75" customHeight="1">
      <c r="Q739" s="34"/>
      <c r="T739" s="34"/>
      <c r="U739" s="34"/>
    </row>
    <row r="740" spans="17:21" ht="15.75" customHeight="1">
      <c r="Q740" s="34"/>
      <c r="T740" s="34"/>
      <c r="U740" s="34"/>
    </row>
    <row r="741" spans="17:21" ht="15.75" customHeight="1">
      <c r="Q741" s="34"/>
      <c r="T741" s="34"/>
      <c r="U741" s="34"/>
    </row>
    <row r="742" spans="17:21" ht="15.75" customHeight="1">
      <c r="Q742" s="34"/>
      <c r="T742" s="34"/>
      <c r="U742" s="34"/>
    </row>
    <row r="743" spans="17:21" ht="15.75" customHeight="1">
      <c r="Q743" s="34"/>
      <c r="T743" s="34"/>
      <c r="U743" s="34"/>
    </row>
    <row r="744" spans="17:21" ht="15.75" customHeight="1">
      <c r="Q744" s="34"/>
      <c r="T744" s="34"/>
      <c r="U744" s="34"/>
    </row>
    <row r="745" spans="17:21" ht="15.75" customHeight="1">
      <c r="Q745" s="34"/>
      <c r="T745" s="34"/>
      <c r="U745" s="34"/>
    </row>
    <row r="746" spans="17:21" ht="15.75" customHeight="1">
      <c r="Q746" s="34"/>
      <c r="T746" s="34"/>
      <c r="U746" s="34"/>
    </row>
    <row r="747" spans="17:21" ht="15.75" customHeight="1">
      <c r="Q747" s="34"/>
      <c r="T747" s="34"/>
      <c r="U747" s="34"/>
    </row>
    <row r="748" spans="17:21" ht="15.75" customHeight="1">
      <c r="Q748" s="34"/>
      <c r="T748" s="34"/>
      <c r="U748" s="34"/>
    </row>
    <row r="749" spans="17:21" ht="15.75" customHeight="1">
      <c r="Q749" s="34"/>
      <c r="T749" s="34"/>
      <c r="U749" s="34"/>
    </row>
    <row r="750" spans="17:21" ht="15.75" customHeight="1">
      <c r="Q750" s="34"/>
      <c r="T750" s="34"/>
      <c r="U750" s="34"/>
    </row>
    <row r="751" spans="17:21" ht="15.75" customHeight="1">
      <c r="Q751" s="34"/>
      <c r="T751" s="34"/>
      <c r="U751" s="34"/>
    </row>
    <row r="752" spans="17:21" ht="15.75" customHeight="1">
      <c r="Q752" s="34"/>
      <c r="T752" s="34"/>
      <c r="U752" s="34"/>
    </row>
    <row r="753" spans="17:21" ht="15.75" customHeight="1">
      <c r="Q753" s="34"/>
      <c r="T753" s="34"/>
      <c r="U753" s="34"/>
    </row>
    <row r="754" spans="17:21" ht="15.75" customHeight="1">
      <c r="Q754" s="34"/>
      <c r="T754" s="34"/>
      <c r="U754" s="34"/>
    </row>
    <row r="755" spans="17:21" ht="15.75" customHeight="1">
      <c r="Q755" s="34"/>
      <c r="T755" s="34"/>
      <c r="U755" s="34"/>
    </row>
    <row r="756" spans="17:21" ht="15.75" customHeight="1">
      <c r="Q756" s="34"/>
      <c r="T756" s="34"/>
      <c r="U756" s="34"/>
    </row>
    <row r="757" spans="17:21" ht="15.75" customHeight="1">
      <c r="Q757" s="34"/>
      <c r="T757" s="34"/>
      <c r="U757" s="34"/>
    </row>
    <row r="758" spans="17:21" ht="15.75" customHeight="1">
      <c r="Q758" s="34"/>
      <c r="T758" s="34"/>
      <c r="U758" s="34"/>
    </row>
    <row r="759" spans="17:21" ht="15.75" customHeight="1">
      <c r="Q759" s="34"/>
      <c r="T759" s="34"/>
      <c r="U759" s="34"/>
    </row>
    <row r="760" spans="17:21" ht="15.75" customHeight="1">
      <c r="Q760" s="34"/>
      <c r="T760" s="34"/>
      <c r="U760" s="34"/>
    </row>
    <row r="761" spans="17:21" ht="15.75" customHeight="1">
      <c r="Q761" s="34"/>
      <c r="T761" s="34"/>
      <c r="U761" s="34"/>
    </row>
    <row r="762" spans="17:21" ht="15.75" customHeight="1">
      <c r="Q762" s="34"/>
      <c r="T762" s="34"/>
      <c r="U762" s="34"/>
    </row>
    <row r="763" spans="17:21" ht="15.75" customHeight="1">
      <c r="Q763" s="34"/>
      <c r="T763" s="34"/>
      <c r="U763" s="34"/>
    </row>
    <row r="764" spans="17:21" ht="15.75" customHeight="1">
      <c r="Q764" s="34"/>
      <c r="T764" s="34"/>
      <c r="U764" s="34"/>
    </row>
    <row r="765" spans="17:21" ht="15.75" customHeight="1">
      <c r="Q765" s="34"/>
      <c r="T765" s="34"/>
      <c r="U765" s="34"/>
    </row>
    <row r="766" spans="17:21" ht="15.75" customHeight="1">
      <c r="Q766" s="34"/>
      <c r="T766" s="34"/>
      <c r="U766" s="34"/>
    </row>
    <row r="767" spans="17:21" ht="15.75" customHeight="1">
      <c r="Q767" s="34"/>
      <c r="T767" s="34"/>
      <c r="U767" s="34"/>
    </row>
    <row r="768" spans="17:21" ht="15.75" customHeight="1">
      <c r="Q768" s="34"/>
      <c r="T768" s="34"/>
      <c r="U768" s="34"/>
    </row>
    <row r="769" spans="17:21" ht="15.75" customHeight="1">
      <c r="Q769" s="34"/>
      <c r="T769" s="34"/>
      <c r="U769" s="34"/>
    </row>
    <row r="770" spans="17:21" ht="15.75" customHeight="1">
      <c r="Q770" s="34"/>
      <c r="T770" s="34"/>
      <c r="U770" s="34"/>
    </row>
    <row r="771" spans="17:21" ht="15.75" customHeight="1">
      <c r="Q771" s="34"/>
      <c r="T771" s="34"/>
      <c r="U771" s="34"/>
    </row>
    <row r="772" spans="17:21" ht="15.75" customHeight="1">
      <c r="Q772" s="34"/>
      <c r="T772" s="34"/>
      <c r="U772" s="34"/>
    </row>
    <row r="773" spans="17:21" ht="15.75" customHeight="1">
      <c r="Q773" s="34"/>
      <c r="T773" s="34"/>
      <c r="U773" s="34"/>
    </row>
    <row r="774" spans="17:21" ht="15.75" customHeight="1">
      <c r="Q774" s="34"/>
      <c r="T774" s="34"/>
      <c r="U774" s="34"/>
    </row>
    <row r="775" spans="17:21" ht="15.75" customHeight="1">
      <c r="Q775" s="34"/>
      <c r="T775" s="34"/>
      <c r="U775" s="34"/>
    </row>
    <row r="776" spans="17:21" ht="15.75" customHeight="1">
      <c r="Q776" s="34"/>
      <c r="T776" s="34"/>
      <c r="U776" s="34"/>
    </row>
    <row r="777" spans="17:21" ht="15.75" customHeight="1">
      <c r="Q777" s="34"/>
      <c r="T777" s="34"/>
      <c r="U777" s="34"/>
    </row>
    <row r="778" spans="17:21" ht="15.75" customHeight="1">
      <c r="Q778" s="34"/>
      <c r="T778" s="34"/>
      <c r="U778" s="34"/>
    </row>
    <row r="779" spans="17:21" ht="15.75" customHeight="1">
      <c r="Q779" s="34"/>
      <c r="T779" s="34"/>
      <c r="U779" s="34"/>
    </row>
    <row r="780" spans="17:21" ht="15.75" customHeight="1">
      <c r="Q780" s="34"/>
      <c r="T780" s="34"/>
      <c r="U780" s="34"/>
    </row>
    <row r="781" spans="17:21" ht="15.75" customHeight="1">
      <c r="Q781" s="34"/>
      <c r="T781" s="34"/>
      <c r="U781" s="34"/>
    </row>
    <row r="782" spans="17:21" ht="15.75" customHeight="1">
      <c r="Q782" s="34"/>
      <c r="T782" s="34"/>
      <c r="U782" s="34"/>
    </row>
    <row r="783" spans="17:21" ht="15.75" customHeight="1">
      <c r="Q783" s="34"/>
      <c r="T783" s="34"/>
      <c r="U783" s="34"/>
    </row>
    <row r="784" spans="17:21" ht="15.75" customHeight="1">
      <c r="Q784" s="34"/>
      <c r="T784" s="34"/>
      <c r="U784" s="34"/>
    </row>
    <row r="785" spans="17:21" ht="15.75" customHeight="1">
      <c r="Q785" s="34"/>
      <c r="T785" s="34"/>
      <c r="U785" s="34"/>
    </row>
    <row r="786" spans="17:21" ht="15.75" customHeight="1">
      <c r="Q786" s="34"/>
      <c r="T786" s="34"/>
      <c r="U786" s="34"/>
    </row>
    <row r="787" spans="17:21" ht="15.75" customHeight="1">
      <c r="Q787" s="34"/>
      <c r="T787" s="34"/>
      <c r="U787" s="34"/>
    </row>
    <row r="788" spans="17:21" ht="15.75" customHeight="1">
      <c r="Q788" s="34"/>
      <c r="T788" s="34"/>
      <c r="U788" s="34"/>
    </row>
    <row r="789" spans="17:21" ht="15.75" customHeight="1">
      <c r="Q789" s="34"/>
      <c r="T789" s="34"/>
      <c r="U789" s="34"/>
    </row>
    <row r="790" spans="17:21" ht="15.75" customHeight="1">
      <c r="Q790" s="34"/>
      <c r="T790" s="34"/>
      <c r="U790" s="34"/>
    </row>
    <row r="791" spans="17:21" ht="15.75" customHeight="1">
      <c r="Q791" s="34"/>
      <c r="T791" s="34"/>
      <c r="U791" s="34"/>
    </row>
    <row r="792" spans="17:21" ht="15.75" customHeight="1">
      <c r="Q792" s="34"/>
      <c r="T792" s="34"/>
      <c r="U792" s="34"/>
    </row>
    <row r="793" spans="17:21" ht="15.75" customHeight="1">
      <c r="Q793" s="34"/>
      <c r="T793" s="34"/>
      <c r="U793" s="34"/>
    </row>
    <row r="794" spans="17:21" ht="15.75" customHeight="1">
      <c r="Q794" s="34"/>
      <c r="T794" s="34"/>
      <c r="U794" s="34"/>
    </row>
    <row r="795" spans="17:21" ht="15.75" customHeight="1">
      <c r="Q795" s="34"/>
      <c r="T795" s="34"/>
      <c r="U795" s="34"/>
    </row>
    <row r="796" spans="17:21" ht="15.75" customHeight="1">
      <c r="Q796" s="34"/>
      <c r="T796" s="34"/>
      <c r="U796" s="34"/>
    </row>
    <row r="797" spans="17:21" ht="15.75" customHeight="1">
      <c r="Q797" s="34"/>
      <c r="T797" s="34"/>
      <c r="U797" s="34"/>
    </row>
    <row r="798" spans="17:21" ht="15.75" customHeight="1">
      <c r="Q798" s="34"/>
      <c r="T798" s="34"/>
      <c r="U798" s="34"/>
    </row>
    <row r="799" spans="17:21" ht="15.75" customHeight="1">
      <c r="Q799" s="34"/>
      <c r="T799" s="34"/>
      <c r="U799" s="34"/>
    </row>
    <row r="800" spans="17:21" ht="15.75" customHeight="1">
      <c r="Q800" s="34"/>
      <c r="T800" s="34"/>
      <c r="U800" s="34"/>
    </row>
    <row r="801" spans="17:21" ht="15.75" customHeight="1">
      <c r="Q801" s="34"/>
      <c r="T801" s="34"/>
      <c r="U801" s="34"/>
    </row>
    <row r="802" spans="17:21" ht="15.75" customHeight="1">
      <c r="Q802" s="34"/>
      <c r="T802" s="34"/>
      <c r="U802" s="34"/>
    </row>
    <row r="803" spans="17:21" ht="15.75" customHeight="1">
      <c r="Q803" s="34"/>
      <c r="T803" s="34"/>
      <c r="U803" s="34"/>
    </row>
    <row r="804" spans="17:21" ht="15.75" customHeight="1">
      <c r="Q804" s="34"/>
      <c r="T804" s="34"/>
      <c r="U804" s="34"/>
    </row>
    <row r="805" spans="17:21" ht="15.75" customHeight="1">
      <c r="Q805" s="34"/>
      <c r="T805" s="34"/>
      <c r="U805" s="34"/>
    </row>
    <row r="806" spans="17:21" ht="15.75" customHeight="1">
      <c r="Q806" s="34"/>
      <c r="T806" s="34"/>
      <c r="U806" s="34"/>
    </row>
    <row r="807" spans="17:21" ht="15.75" customHeight="1">
      <c r="Q807" s="34"/>
      <c r="T807" s="34"/>
      <c r="U807" s="34"/>
    </row>
    <row r="808" spans="17:21" ht="15.75" customHeight="1">
      <c r="Q808" s="34"/>
      <c r="T808" s="34"/>
      <c r="U808" s="34"/>
    </row>
    <row r="809" spans="17:21" ht="15.75" customHeight="1">
      <c r="Q809" s="34"/>
      <c r="T809" s="34"/>
      <c r="U809" s="34"/>
    </row>
    <row r="810" spans="17:21" ht="15.75" customHeight="1">
      <c r="Q810" s="34"/>
      <c r="T810" s="34"/>
      <c r="U810" s="34"/>
    </row>
    <row r="811" spans="17:21" ht="15.75" customHeight="1">
      <c r="Q811" s="34"/>
      <c r="T811" s="34"/>
      <c r="U811" s="34"/>
    </row>
    <row r="812" spans="17:21" ht="15.75" customHeight="1">
      <c r="Q812" s="34"/>
      <c r="T812" s="34"/>
      <c r="U812" s="34"/>
    </row>
    <row r="813" spans="17:21" ht="15.75" customHeight="1">
      <c r="Q813" s="34"/>
      <c r="T813" s="34"/>
      <c r="U813" s="34"/>
    </row>
    <row r="814" spans="17:21" ht="15.75" customHeight="1">
      <c r="Q814" s="34"/>
      <c r="T814" s="34"/>
      <c r="U814" s="34"/>
    </row>
    <row r="815" spans="17:21" ht="15.75" customHeight="1">
      <c r="Q815" s="34"/>
      <c r="T815" s="34"/>
      <c r="U815" s="34"/>
    </row>
    <row r="816" spans="17:21" ht="15.75" customHeight="1">
      <c r="Q816" s="34"/>
      <c r="T816" s="34"/>
      <c r="U816" s="34"/>
    </row>
    <row r="817" spans="17:21" ht="15.75" customHeight="1">
      <c r="Q817" s="34"/>
      <c r="T817" s="34"/>
      <c r="U817" s="34"/>
    </row>
    <row r="818" spans="17:21" ht="15.75" customHeight="1">
      <c r="Q818" s="34"/>
      <c r="T818" s="34"/>
      <c r="U818" s="34"/>
    </row>
    <row r="819" spans="17:21" ht="15.75" customHeight="1">
      <c r="Q819" s="34"/>
      <c r="T819" s="34"/>
      <c r="U819" s="34"/>
    </row>
    <row r="820" spans="17:21" ht="15.75" customHeight="1">
      <c r="Q820" s="34"/>
      <c r="T820" s="34"/>
      <c r="U820" s="34"/>
    </row>
    <row r="821" spans="17:21" ht="15.75" customHeight="1">
      <c r="Q821" s="34"/>
      <c r="T821" s="34"/>
      <c r="U821" s="34"/>
    </row>
    <row r="822" spans="17:21" ht="15.75" customHeight="1">
      <c r="Q822" s="34"/>
      <c r="T822" s="34"/>
      <c r="U822" s="34"/>
    </row>
    <row r="823" spans="17:21" ht="15.75" customHeight="1">
      <c r="Q823" s="34"/>
      <c r="T823" s="34"/>
      <c r="U823" s="34"/>
    </row>
    <row r="824" spans="17:21" ht="15.75" customHeight="1">
      <c r="Q824" s="34"/>
      <c r="T824" s="34"/>
      <c r="U824" s="34"/>
    </row>
    <row r="825" spans="17:21" ht="15.75" customHeight="1">
      <c r="Q825" s="34"/>
      <c r="T825" s="34"/>
      <c r="U825" s="34"/>
    </row>
    <row r="826" spans="17:21" ht="15.75" customHeight="1">
      <c r="Q826" s="34"/>
      <c r="T826" s="34"/>
      <c r="U826" s="34"/>
    </row>
    <row r="827" spans="17:21" ht="15.75" customHeight="1">
      <c r="Q827" s="34"/>
      <c r="T827" s="34"/>
      <c r="U827" s="34"/>
    </row>
    <row r="828" spans="17:21" ht="15.75" customHeight="1">
      <c r="Q828" s="34"/>
      <c r="T828" s="34"/>
      <c r="U828" s="34"/>
    </row>
    <row r="829" spans="17:21" ht="15.75" customHeight="1">
      <c r="Q829" s="34"/>
      <c r="T829" s="34"/>
      <c r="U829" s="34"/>
    </row>
    <row r="830" spans="17:21" ht="15.75" customHeight="1">
      <c r="Q830" s="34"/>
      <c r="T830" s="34"/>
      <c r="U830" s="34"/>
    </row>
    <row r="831" spans="17:21" ht="15.75" customHeight="1">
      <c r="Q831" s="34"/>
      <c r="T831" s="34"/>
      <c r="U831" s="34"/>
    </row>
    <row r="832" spans="17:21" ht="15.75" customHeight="1">
      <c r="Q832" s="34"/>
      <c r="T832" s="34"/>
      <c r="U832" s="34"/>
    </row>
    <row r="833" spans="17:21" ht="15.75" customHeight="1">
      <c r="Q833" s="34"/>
      <c r="T833" s="34"/>
      <c r="U833" s="34"/>
    </row>
    <row r="834" spans="17:21" ht="15.75" customHeight="1">
      <c r="Q834" s="34"/>
      <c r="T834" s="34"/>
      <c r="U834" s="34"/>
    </row>
    <row r="835" spans="17:21" ht="15.75" customHeight="1">
      <c r="Q835" s="34"/>
      <c r="T835" s="34"/>
      <c r="U835" s="34"/>
    </row>
    <row r="836" spans="17:21" ht="15.75" customHeight="1">
      <c r="Q836" s="34"/>
      <c r="T836" s="34"/>
      <c r="U836" s="34"/>
    </row>
    <row r="837" spans="17:21" ht="15.75" customHeight="1">
      <c r="Q837" s="34"/>
      <c r="T837" s="34"/>
      <c r="U837" s="34"/>
    </row>
    <row r="838" spans="17:21" ht="15.75" customHeight="1">
      <c r="Q838" s="34"/>
      <c r="T838" s="34"/>
      <c r="U838" s="34"/>
    </row>
    <row r="839" spans="17:21" ht="15.75" customHeight="1">
      <c r="Q839" s="34"/>
      <c r="T839" s="34"/>
      <c r="U839" s="34"/>
    </row>
    <row r="840" spans="17:21" ht="15.75" customHeight="1">
      <c r="Q840" s="34"/>
      <c r="T840" s="34"/>
      <c r="U840" s="34"/>
    </row>
    <row r="841" spans="17:21" ht="15.75" customHeight="1">
      <c r="Q841" s="34"/>
      <c r="T841" s="34"/>
      <c r="U841" s="34"/>
    </row>
    <row r="842" spans="17:21" ht="15.75" customHeight="1">
      <c r="Q842" s="34"/>
      <c r="T842" s="34"/>
      <c r="U842" s="34"/>
    </row>
    <row r="843" spans="17:21" ht="15.75" customHeight="1">
      <c r="Q843" s="34"/>
      <c r="T843" s="34"/>
      <c r="U843" s="34"/>
    </row>
    <row r="844" spans="17:21" ht="15.75" customHeight="1">
      <c r="Q844" s="34"/>
      <c r="T844" s="34"/>
      <c r="U844" s="34"/>
    </row>
    <row r="845" spans="17:21" ht="15.75" customHeight="1">
      <c r="Q845" s="34"/>
      <c r="T845" s="34"/>
      <c r="U845" s="34"/>
    </row>
    <row r="846" spans="17:21" ht="15.75" customHeight="1">
      <c r="Q846" s="34"/>
      <c r="T846" s="34"/>
      <c r="U846" s="34"/>
    </row>
    <row r="847" spans="17:21" ht="15.75" customHeight="1">
      <c r="Q847" s="34"/>
      <c r="T847" s="34"/>
      <c r="U847" s="34"/>
    </row>
    <row r="848" spans="17:21" ht="15.75" customHeight="1">
      <c r="Q848" s="34"/>
      <c r="T848" s="34"/>
      <c r="U848" s="34"/>
    </row>
    <row r="849" spans="17:21" ht="15.75" customHeight="1">
      <c r="Q849" s="34"/>
      <c r="T849" s="34"/>
      <c r="U849" s="34"/>
    </row>
    <row r="850" spans="17:21" ht="15.75" customHeight="1">
      <c r="Q850" s="34"/>
      <c r="T850" s="34"/>
      <c r="U850" s="34"/>
    </row>
    <row r="851" spans="17:21" ht="15.75" customHeight="1">
      <c r="Q851" s="34"/>
      <c r="T851" s="34"/>
      <c r="U851" s="34"/>
    </row>
    <row r="852" spans="17:21" ht="15.75" customHeight="1">
      <c r="Q852" s="34"/>
      <c r="T852" s="34"/>
      <c r="U852" s="34"/>
    </row>
    <row r="853" spans="17:21" ht="15.75" customHeight="1">
      <c r="Q853" s="34"/>
      <c r="T853" s="34"/>
      <c r="U853" s="34"/>
    </row>
    <row r="854" spans="17:21" ht="15.75" customHeight="1">
      <c r="Q854" s="34"/>
      <c r="T854" s="34"/>
      <c r="U854" s="34"/>
    </row>
    <row r="855" spans="17:21" ht="15.75" customHeight="1">
      <c r="Q855" s="34"/>
      <c r="T855" s="34"/>
      <c r="U855" s="34"/>
    </row>
    <row r="856" spans="17:21" ht="15.75" customHeight="1">
      <c r="Q856" s="34"/>
      <c r="T856" s="34"/>
      <c r="U856" s="34"/>
    </row>
    <row r="857" spans="17:21" ht="15.75" customHeight="1">
      <c r="Q857" s="34"/>
      <c r="T857" s="34"/>
      <c r="U857" s="34"/>
    </row>
    <row r="858" spans="17:21" ht="15.75" customHeight="1">
      <c r="Q858" s="34"/>
      <c r="T858" s="34"/>
      <c r="U858" s="34"/>
    </row>
    <row r="859" spans="17:21" ht="15.75" customHeight="1">
      <c r="Q859" s="34"/>
      <c r="T859" s="34"/>
      <c r="U859" s="34"/>
    </row>
    <row r="860" spans="17:21" ht="15.75" customHeight="1">
      <c r="Q860" s="34"/>
      <c r="T860" s="34"/>
      <c r="U860" s="34"/>
    </row>
    <row r="861" spans="17:21" ht="15.75" customHeight="1">
      <c r="Q861" s="34"/>
      <c r="T861" s="34"/>
      <c r="U861" s="34"/>
    </row>
    <row r="862" spans="17:21" ht="15.75" customHeight="1">
      <c r="Q862" s="34"/>
      <c r="T862" s="34"/>
      <c r="U862" s="34"/>
    </row>
  </sheetData>
  <mergeCells count="34">
    <mergeCell ref="A6:B6"/>
    <mergeCell ref="C6:F6"/>
    <mergeCell ref="I6:L6"/>
    <mergeCell ref="AB8:AB9"/>
    <mergeCell ref="AA8:AA9"/>
    <mergeCell ref="Z8:Z9"/>
    <mergeCell ref="W8:X8"/>
    <mergeCell ref="Y8:Y9"/>
    <mergeCell ref="H1:R1"/>
    <mergeCell ref="E2:V2"/>
    <mergeCell ref="A4:B4"/>
    <mergeCell ref="C4:F4"/>
    <mergeCell ref="C5:F5"/>
    <mergeCell ref="I5:J5"/>
    <mergeCell ref="K5:L5"/>
    <mergeCell ref="A5:B5"/>
    <mergeCell ref="W22:X22"/>
    <mergeCell ref="A7:B7"/>
    <mergeCell ref="C7:F7"/>
    <mergeCell ref="A8:A9"/>
    <mergeCell ref="J8:L8"/>
    <mergeCell ref="V8:V9"/>
    <mergeCell ref="T8:U8"/>
    <mergeCell ref="S8:S9"/>
    <mergeCell ref="R8:R9"/>
    <mergeCell ref="Q8:Q9"/>
    <mergeCell ref="B8:D8"/>
    <mergeCell ref="E8:H8"/>
    <mergeCell ref="N8:P8"/>
    <mergeCell ref="T22:U22"/>
    <mergeCell ref="B22:D22"/>
    <mergeCell ref="E22:H22"/>
    <mergeCell ref="J22:L22"/>
    <mergeCell ref="N22:P22"/>
  </mergeCells>
  <pageMargins left="0.7" right="0.7" top="0.75" bottom="0.75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34"/>
  <sheetViews>
    <sheetView topLeftCell="J1" workbookViewId="0">
      <pane ySplit="1" topLeftCell="A2" activePane="bottomLeft" state="frozen"/>
      <selection pane="bottomLeft" activeCell="B9" sqref="B9"/>
    </sheetView>
  </sheetViews>
  <sheetFormatPr baseColWidth="10" defaultColWidth="14.44140625" defaultRowHeight="15" customHeight="1"/>
  <cols>
    <col min="1" max="1" width="11.44140625" customWidth="1"/>
    <col min="2" max="2" width="13.109375" customWidth="1"/>
    <col min="3" max="3" width="11.44140625" customWidth="1"/>
    <col min="4" max="4" width="14.33203125" customWidth="1"/>
    <col min="5" max="5" width="14.5546875" customWidth="1"/>
    <col min="6" max="6" width="11.44140625" customWidth="1"/>
    <col min="7" max="7" width="14.5546875" customWidth="1"/>
    <col min="8" max="8" width="11.44140625" customWidth="1"/>
    <col min="9" max="9" width="18.5546875" customWidth="1"/>
    <col min="10" max="10" width="11.44140625" customWidth="1"/>
    <col min="11" max="11" width="15" customWidth="1"/>
    <col min="12" max="12" width="16.88671875" customWidth="1"/>
    <col min="13" max="13" width="20.33203125" customWidth="1"/>
    <col min="14" max="14" width="14.44140625" customWidth="1"/>
    <col min="15" max="15" width="19.33203125" customWidth="1"/>
    <col min="16" max="16" width="19.6640625" customWidth="1"/>
    <col min="17" max="17" width="11.44140625" customWidth="1"/>
    <col min="18" max="18" width="19.5546875" customWidth="1"/>
    <col min="19" max="20" width="11.44140625" customWidth="1"/>
    <col min="21" max="21" width="13.6640625" customWidth="1"/>
    <col min="22" max="26" width="11.44140625" customWidth="1"/>
  </cols>
  <sheetData>
    <row r="1" spans="1:22" ht="29.4">
      <c r="A1" s="35" t="s">
        <v>75</v>
      </c>
      <c r="B1" s="35"/>
      <c r="C1" s="35"/>
      <c r="D1" s="167"/>
      <c r="E1" s="154"/>
      <c r="F1" s="154"/>
      <c r="G1" s="154"/>
      <c r="H1" s="35"/>
      <c r="I1" s="35"/>
      <c r="J1" s="35"/>
      <c r="K1" s="35"/>
      <c r="L1" s="35"/>
      <c r="M1" s="35"/>
    </row>
    <row r="2" spans="1:22" ht="14.4">
      <c r="A2" s="35"/>
      <c r="B2" s="35"/>
      <c r="C2" s="155" t="s">
        <v>2</v>
      </c>
      <c r="D2" s="154"/>
      <c r="E2" s="154"/>
      <c r="F2" s="154"/>
      <c r="G2" s="154"/>
      <c r="H2" s="154"/>
      <c r="I2" s="154"/>
      <c r="J2" s="154"/>
      <c r="K2" s="35"/>
      <c r="L2" s="35"/>
      <c r="M2" s="35"/>
    </row>
    <row r="3" spans="1:22" ht="14.4">
      <c r="A3" s="35"/>
      <c r="B3" s="35"/>
      <c r="C3" s="5"/>
      <c r="D3" s="5"/>
      <c r="E3" s="5"/>
      <c r="F3" s="5"/>
      <c r="G3" s="5"/>
      <c r="H3" s="5"/>
      <c r="I3" s="5"/>
      <c r="J3" s="5"/>
      <c r="K3" s="35"/>
      <c r="L3" s="35"/>
      <c r="M3" s="35"/>
    </row>
    <row r="4" spans="1:22" ht="14.4">
      <c r="A4" s="159" t="s">
        <v>3</v>
      </c>
      <c r="B4" s="131"/>
      <c r="C4" s="157" t="s">
        <v>76</v>
      </c>
      <c r="D4" s="130"/>
      <c r="E4" s="131"/>
      <c r="F4" s="5"/>
      <c r="G4" s="5"/>
      <c r="H4" s="5"/>
      <c r="I4" s="5"/>
      <c r="J4" s="5"/>
      <c r="K4" s="35"/>
      <c r="L4" s="35"/>
      <c r="M4" s="35"/>
    </row>
    <row r="5" spans="1:22" ht="14.4">
      <c r="A5" s="159" t="s">
        <v>77</v>
      </c>
      <c r="B5" s="131"/>
      <c r="C5" s="158" t="s">
        <v>78</v>
      </c>
      <c r="D5" s="130"/>
      <c r="E5" s="131"/>
      <c r="F5" s="35"/>
      <c r="G5" s="35"/>
      <c r="H5" s="35"/>
      <c r="I5" s="35"/>
      <c r="J5" s="35"/>
      <c r="K5" s="35"/>
      <c r="L5" s="35"/>
      <c r="M5" s="35"/>
    </row>
    <row r="6" spans="1:22" ht="14.4">
      <c r="A6" s="159" t="s">
        <v>9</v>
      </c>
      <c r="B6" s="131"/>
      <c r="C6" s="158">
        <v>2025</v>
      </c>
      <c r="D6" s="130"/>
      <c r="E6" s="131"/>
      <c r="F6" s="35"/>
      <c r="G6" s="35"/>
      <c r="H6" s="35"/>
      <c r="I6" s="35"/>
      <c r="J6" s="35"/>
      <c r="K6" s="35"/>
      <c r="L6" s="35"/>
      <c r="M6" s="35"/>
    </row>
    <row r="7" spans="1:22" ht="14.4">
      <c r="A7" s="159" t="s">
        <v>10</v>
      </c>
      <c r="B7" s="131"/>
      <c r="C7" s="157" t="s">
        <v>11</v>
      </c>
      <c r="D7" s="130"/>
      <c r="E7" s="131"/>
      <c r="F7" s="35"/>
      <c r="G7" s="35"/>
      <c r="H7" s="35"/>
      <c r="I7" s="35"/>
      <c r="J7" s="35"/>
      <c r="K7" s="35"/>
      <c r="L7" s="35"/>
      <c r="M7" s="35"/>
    </row>
    <row r="8" spans="1:22" ht="50.4">
      <c r="A8" s="37" t="s">
        <v>12</v>
      </c>
      <c r="B8" s="38" t="s">
        <v>79</v>
      </c>
      <c r="C8" s="39" t="s">
        <v>59</v>
      </c>
      <c r="D8" s="40" t="s">
        <v>18</v>
      </c>
      <c r="E8" s="40" t="s">
        <v>80</v>
      </c>
      <c r="F8" s="40" t="s">
        <v>14</v>
      </c>
      <c r="G8" s="40" t="s">
        <v>60</v>
      </c>
      <c r="H8" s="37" t="s">
        <v>61</v>
      </c>
      <c r="I8" s="40" t="s">
        <v>22</v>
      </c>
      <c r="J8" s="40" t="s">
        <v>81</v>
      </c>
      <c r="K8" s="40" t="s">
        <v>82</v>
      </c>
      <c r="L8" s="40" t="s">
        <v>83</v>
      </c>
      <c r="M8" s="40" t="s">
        <v>84</v>
      </c>
      <c r="N8" s="41" t="s">
        <v>16</v>
      </c>
      <c r="O8" s="41" t="s">
        <v>85</v>
      </c>
      <c r="P8" s="41" t="s">
        <v>15</v>
      </c>
      <c r="Q8" s="41" t="s">
        <v>25</v>
      </c>
      <c r="R8" s="41" t="s">
        <v>86</v>
      </c>
      <c r="S8" s="41" t="s">
        <v>24</v>
      </c>
      <c r="T8" s="41" t="s">
        <v>8</v>
      </c>
      <c r="U8" s="41" t="s">
        <v>23</v>
      </c>
      <c r="V8" s="41" t="s">
        <v>58</v>
      </c>
    </row>
    <row r="9" spans="1:22" ht="14.4">
      <c r="A9" s="42" t="s">
        <v>46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4">
        <f t="shared" ref="V9:V21" si="0">SUM(B9:U9)</f>
        <v>0</v>
      </c>
    </row>
    <row r="10" spans="1:22" ht="14.4">
      <c r="A10" s="42" t="s">
        <v>47</v>
      </c>
      <c r="B10" s="43">
        <v>0</v>
      </c>
      <c r="C10" s="43">
        <v>0</v>
      </c>
      <c r="D10" s="45">
        <v>1</v>
      </c>
      <c r="E10" s="43">
        <v>0</v>
      </c>
      <c r="F10" s="45">
        <v>0</v>
      </c>
      <c r="G10" s="46">
        <v>0</v>
      </c>
      <c r="H10" s="47">
        <v>0</v>
      </c>
      <c r="I10" s="48">
        <v>58</v>
      </c>
      <c r="J10" s="49">
        <v>0</v>
      </c>
      <c r="K10" s="49">
        <v>0</v>
      </c>
      <c r="L10" s="49">
        <v>0</v>
      </c>
      <c r="M10" s="49">
        <v>0</v>
      </c>
      <c r="N10" s="50">
        <v>11</v>
      </c>
      <c r="O10" s="51">
        <v>0</v>
      </c>
      <c r="P10" s="52">
        <v>0</v>
      </c>
      <c r="Q10" s="52">
        <v>25</v>
      </c>
      <c r="R10" s="51">
        <v>0</v>
      </c>
      <c r="S10" s="52">
        <v>0</v>
      </c>
      <c r="T10" s="53">
        <v>0</v>
      </c>
      <c r="U10" s="52">
        <v>25</v>
      </c>
      <c r="V10" s="44">
        <f t="shared" si="0"/>
        <v>120</v>
      </c>
    </row>
    <row r="11" spans="1:22" ht="14.4">
      <c r="A11" s="42" t="s">
        <v>48</v>
      </c>
      <c r="B11" s="43">
        <v>0</v>
      </c>
      <c r="C11" s="43">
        <v>0</v>
      </c>
      <c r="D11" s="54">
        <v>5</v>
      </c>
      <c r="E11" s="43">
        <v>1</v>
      </c>
      <c r="F11" s="45">
        <v>4</v>
      </c>
      <c r="G11" s="46">
        <v>0</v>
      </c>
      <c r="H11" s="47">
        <v>0</v>
      </c>
      <c r="I11" s="48">
        <v>114</v>
      </c>
      <c r="J11" s="49">
        <v>0</v>
      </c>
      <c r="K11" s="49">
        <v>0</v>
      </c>
      <c r="L11" s="49">
        <v>0</v>
      </c>
      <c r="M11" s="55">
        <v>0</v>
      </c>
      <c r="N11" s="50">
        <v>37</v>
      </c>
      <c r="O11" s="51">
        <v>0</v>
      </c>
      <c r="P11" s="52">
        <v>2</v>
      </c>
      <c r="Q11" s="52">
        <v>53</v>
      </c>
      <c r="R11" s="51">
        <v>0</v>
      </c>
      <c r="S11" s="52">
        <v>1</v>
      </c>
      <c r="T11" s="53">
        <v>11</v>
      </c>
      <c r="U11" s="56">
        <v>24</v>
      </c>
      <c r="V11" s="44">
        <f t="shared" si="0"/>
        <v>252</v>
      </c>
    </row>
    <row r="12" spans="1:22" ht="14.4">
      <c r="A12" s="42" t="s">
        <v>49</v>
      </c>
      <c r="B12" s="57"/>
      <c r="C12" s="57"/>
      <c r="D12" s="45">
        <v>10</v>
      </c>
      <c r="E12" s="57"/>
      <c r="F12" s="58"/>
      <c r="G12" s="59"/>
      <c r="H12" s="60"/>
      <c r="I12" s="48">
        <v>50</v>
      </c>
      <c r="J12" s="61"/>
      <c r="K12" s="61"/>
      <c r="L12" s="61"/>
      <c r="M12" s="61"/>
      <c r="N12" s="50">
        <v>64</v>
      </c>
      <c r="O12" s="61"/>
      <c r="P12" s="52"/>
      <c r="Q12" s="52">
        <v>33</v>
      </c>
      <c r="R12" s="51"/>
      <c r="S12" s="52"/>
      <c r="T12" s="53"/>
      <c r="U12" s="52">
        <v>20</v>
      </c>
      <c r="V12" s="44">
        <f t="shared" si="0"/>
        <v>177</v>
      </c>
    </row>
    <row r="13" spans="1:22" ht="14.4">
      <c r="A13" s="42" t="s">
        <v>50</v>
      </c>
      <c r="B13" s="57"/>
      <c r="C13" s="57"/>
      <c r="D13" s="58"/>
      <c r="E13" s="57"/>
      <c r="F13" s="58"/>
      <c r="G13" s="59"/>
      <c r="H13" s="60"/>
      <c r="I13" s="62"/>
      <c r="J13" s="63"/>
      <c r="K13" s="63"/>
      <c r="L13" s="63"/>
      <c r="M13" s="61"/>
      <c r="N13" s="50"/>
      <c r="O13" s="51"/>
      <c r="P13" s="52"/>
      <c r="Q13" s="52"/>
      <c r="R13" s="51"/>
      <c r="S13" s="52"/>
      <c r="T13" s="53"/>
      <c r="U13" s="52"/>
      <c r="V13" s="44">
        <f t="shared" si="0"/>
        <v>0</v>
      </c>
    </row>
    <row r="14" spans="1:22" ht="14.4">
      <c r="A14" s="42" t="s">
        <v>51</v>
      </c>
      <c r="B14" s="57"/>
      <c r="C14" s="57"/>
      <c r="D14" s="58"/>
      <c r="E14" s="57"/>
      <c r="F14" s="58"/>
      <c r="G14" s="59"/>
      <c r="H14" s="60"/>
      <c r="I14" s="62"/>
      <c r="J14" s="63"/>
      <c r="K14" s="63"/>
      <c r="L14" s="63"/>
      <c r="M14" s="61"/>
      <c r="N14" s="50"/>
      <c r="O14" s="51"/>
      <c r="P14" s="52"/>
      <c r="Q14" s="52"/>
      <c r="R14" s="51"/>
      <c r="S14" s="52"/>
      <c r="T14" s="53"/>
      <c r="U14" s="52"/>
      <c r="V14" s="44">
        <f t="shared" si="0"/>
        <v>0</v>
      </c>
    </row>
    <row r="15" spans="1:22" ht="14.4">
      <c r="A15" s="42" t="s">
        <v>52</v>
      </c>
      <c r="B15" s="57"/>
      <c r="C15" s="57"/>
      <c r="D15" s="58"/>
      <c r="E15" s="57"/>
      <c r="F15" s="58"/>
      <c r="G15" s="59"/>
      <c r="H15" s="60"/>
      <c r="I15" s="62"/>
      <c r="J15" s="63"/>
      <c r="K15" s="63"/>
      <c r="L15" s="63"/>
      <c r="M15" s="61"/>
      <c r="N15" s="50"/>
      <c r="O15" s="51"/>
      <c r="P15" s="52"/>
      <c r="Q15" s="52"/>
      <c r="R15" s="51"/>
      <c r="S15" s="52"/>
      <c r="T15" s="53"/>
      <c r="U15" s="52"/>
      <c r="V15" s="44">
        <f t="shared" si="0"/>
        <v>0</v>
      </c>
    </row>
    <row r="16" spans="1:22" ht="14.4">
      <c r="A16" s="42" t="s">
        <v>53</v>
      </c>
      <c r="B16" s="57"/>
      <c r="C16" s="57"/>
      <c r="D16" s="58"/>
      <c r="E16" s="57"/>
      <c r="F16" s="58"/>
      <c r="G16" s="59"/>
      <c r="H16" s="60"/>
      <c r="I16" s="62"/>
      <c r="J16" s="63"/>
      <c r="K16" s="63"/>
      <c r="L16" s="63"/>
      <c r="M16" s="61"/>
      <c r="N16" s="50"/>
      <c r="O16" s="51"/>
      <c r="P16" s="52"/>
      <c r="Q16" s="52"/>
      <c r="R16" s="51"/>
      <c r="S16" s="52"/>
      <c r="T16" s="53"/>
      <c r="U16" s="52"/>
      <c r="V16" s="64">
        <f t="shared" si="0"/>
        <v>0</v>
      </c>
    </row>
    <row r="17" spans="1:22" ht="14.4">
      <c r="A17" s="65" t="s">
        <v>54</v>
      </c>
      <c r="B17" s="43"/>
      <c r="C17" s="43"/>
      <c r="D17" s="58"/>
      <c r="E17" s="43"/>
      <c r="F17" s="58"/>
      <c r="G17" s="46"/>
      <c r="H17" s="47"/>
      <c r="I17" s="62"/>
      <c r="J17" s="63"/>
      <c r="K17" s="49"/>
      <c r="L17" s="49"/>
      <c r="M17" s="55"/>
      <c r="N17" s="50"/>
      <c r="O17" s="51"/>
      <c r="P17" s="52"/>
      <c r="Q17" s="52"/>
      <c r="R17" s="51"/>
      <c r="S17" s="52"/>
      <c r="T17" s="53"/>
      <c r="U17" s="52"/>
      <c r="V17" s="44">
        <f t="shared" si="0"/>
        <v>0</v>
      </c>
    </row>
    <row r="18" spans="1:22" ht="14.4">
      <c r="A18" s="42" t="s">
        <v>55</v>
      </c>
      <c r="B18" s="43"/>
      <c r="C18" s="43"/>
      <c r="D18" s="45"/>
      <c r="E18" s="43"/>
      <c r="F18" s="45"/>
      <c r="G18" s="46"/>
      <c r="H18" s="47"/>
      <c r="I18" s="48"/>
      <c r="J18" s="49"/>
      <c r="K18" s="49"/>
      <c r="L18" s="49"/>
      <c r="M18" s="55"/>
      <c r="N18" s="50"/>
      <c r="O18" s="51"/>
      <c r="P18" s="52"/>
      <c r="Q18" s="52"/>
      <c r="R18" s="51"/>
      <c r="S18" s="52"/>
      <c r="T18" s="53"/>
      <c r="U18" s="52"/>
      <c r="V18" s="44">
        <f t="shared" si="0"/>
        <v>0</v>
      </c>
    </row>
    <row r="19" spans="1:22" ht="14.4">
      <c r="A19" s="66" t="s">
        <v>56</v>
      </c>
      <c r="B19" s="43"/>
      <c r="C19" s="43"/>
      <c r="D19" s="45"/>
      <c r="E19" s="43"/>
      <c r="F19" s="45"/>
      <c r="G19" s="46"/>
      <c r="H19" s="47"/>
      <c r="I19" s="48"/>
      <c r="J19" s="49"/>
      <c r="K19" s="49"/>
      <c r="L19" s="49"/>
      <c r="M19" s="55"/>
      <c r="N19" s="50"/>
      <c r="O19" s="51"/>
      <c r="P19" s="52"/>
      <c r="Q19" s="52"/>
      <c r="R19" s="51"/>
      <c r="S19" s="52"/>
      <c r="T19" s="53"/>
      <c r="U19" s="52"/>
      <c r="V19" s="44">
        <f t="shared" si="0"/>
        <v>0</v>
      </c>
    </row>
    <row r="20" spans="1:22" ht="14.4">
      <c r="A20" s="42" t="s">
        <v>57</v>
      </c>
      <c r="B20" s="57"/>
      <c r="C20" s="57"/>
      <c r="D20" s="45"/>
      <c r="E20" s="57"/>
      <c r="F20" s="45"/>
      <c r="G20" s="59"/>
      <c r="H20" s="60"/>
      <c r="I20" s="48"/>
      <c r="J20" s="63"/>
      <c r="K20" s="63"/>
      <c r="L20" s="63"/>
      <c r="M20" s="61"/>
      <c r="N20" s="50"/>
      <c r="O20" s="51"/>
      <c r="P20" s="52"/>
      <c r="Q20" s="52"/>
      <c r="R20" s="51"/>
      <c r="S20" s="52"/>
      <c r="T20" s="53"/>
      <c r="U20" s="52"/>
      <c r="V20" s="44">
        <f t="shared" si="0"/>
        <v>0</v>
      </c>
    </row>
    <row r="21" spans="1:22" ht="15.75" customHeight="1">
      <c r="A21" s="67" t="s">
        <v>58</v>
      </c>
      <c r="B21" s="68">
        <f t="shared" ref="B21:U21" si="1">SUM(B9:B20)</f>
        <v>0</v>
      </c>
      <c r="C21" s="68">
        <f t="shared" si="1"/>
        <v>0</v>
      </c>
      <c r="D21" s="68">
        <f t="shared" si="1"/>
        <v>16</v>
      </c>
      <c r="E21" s="68">
        <f t="shared" si="1"/>
        <v>1</v>
      </c>
      <c r="F21" s="68">
        <f t="shared" si="1"/>
        <v>4</v>
      </c>
      <c r="G21" s="68">
        <f t="shared" si="1"/>
        <v>0</v>
      </c>
      <c r="H21" s="68">
        <f t="shared" si="1"/>
        <v>0</v>
      </c>
      <c r="I21" s="68">
        <f t="shared" si="1"/>
        <v>222</v>
      </c>
      <c r="J21" s="68">
        <f t="shared" si="1"/>
        <v>0</v>
      </c>
      <c r="K21" s="68">
        <f t="shared" si="1"/>
        <v>0</v>
      </c>
      <c r="L21" s="68">
        <f t="shared" si="1"/>
        <v>0</v>
      </c>
      <c r="M21" s="68">
        <f t="shared" si="1"/>
        <v>0</v>
      </c>
      <c r="N21" s="68">
        <f t="shared" si="1"/>
        <v>112</v>
      </c>
      <c r="O21" s="68">
        <f t="shared" si="1"/>
        <v>0</v>
      </c>
      <c r="P21" s="68">
        <f t="shared" si="1"/>
        <v>2</v>
      </c>
      <c r="Q21" s="68">
        <f t="shared" si="1"/>
        <v>111</v>
      </c>
      <c r="R21" s="68">
        <f t="shared" si="1"/>
        <v>0</v>
      </c>
      <c r="S21" s="68">
        <f t="shared" si="1"/>
        <v>1</v>
      </c>
      <c r="T21" s="68">
        <f t="shared" si="1"/>
        <v>11</v>
      </c>
      <c r="U21" s="68">
        <f t="shared" si="1"/>
        <v>69</v>
      </c>
      <c r="V21" s="64">
        <f t="shared" si="0"/>
        <v>549</v>
      </c>
    </row>
    <row r="22" spans="1:22" ht="15.75" customHeight="1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22" ht="15.75" customHeight="1">
      <c r="A23" s="30"/>
      <c r="B23" s="31"/>
      <c r="C23" s="31"/>
      <c r="D23" s="31"/>
      <c r="E23" s="31"/>
      <c r="F23" s="31"/>
      <c r="G23" s="31"/>
      <c r="H23" s="166" t="s">
        <v>87</v>
      </c>
      <c r="I23" s="131"/>
      <c r="J23" s="69">
        <f>SUM(B9:U20)</f>
        <v>549</v>
      </c>
      <c r="K23" s="31"/>
      <c r="L23" s="31"/>
      <c r="M23" s="31"/>
      <c r="V23" s="70">
        <f>SUM(V9:V20)</f>
        <v>549</v>
      </c>
    </row>
    <row r="24" spans="1:22" ht="15.75" customHeight="1"/>
    <row r="25" spans="1:22" ht="15.75" customHeight="1"/>
    <row r="26" spans="1:22" ht="15.75" customHeight="1"/>
    <row r="27" spans="1:22" ht="15.75" customHeight="1"/>
    <row r="28" spans="1:22" ht="15.75" customHeight="1"/>
    <row r="29" spans="1:22" ht="15.75" customHeight="1"/>
    <row r="30" spans="1:22" ht="15.75" customHeight="1"/>
    <row r="31" spans="1:22" ht="15.75" customHeight="1"/>
    <row r="32" spans="1:2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</sheetData>
  <mergeCells count="11">
    <mergeCell ref="D1:G1"/>
    <mergeCell ref="C2:J2"/>
    <mergeCell ref="A4:B4"/>
    <mergeCell ref="C4:E4"/>
    <mergeCell ref="A5:B5"/>
    <mergeCell ref="C5:E5"/>
    <mergeCell ref="C6:E6"/>
    <mergeCell ref="A6:B6"/>
    <mergeCell ref="A7:B7"/>
    <mergeCell ref="C7:E7"/>
    <mergeCell ref="H23:I2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872"/>
  <sheetViews>
    <sheetView topLeftCell="H5" workbookViewId="0">
      <selection activeCell="A22" sqref="A22:XFD22"/>
    </sheetView>
  </sheetViews>
  <sheetFormatPr baseColWidth="10" defaultColWidth="14.44140625" defaultRowHeight="15" customHeight="1"/>
  <cols>
    <col min="1" max="1" width="12.88671875" customWidth="1"/>
    <col min="2" max="30" width="11.44140625" customWidth="1"/>
  </cols>
  <sheetData>
    <row r="1" spans="1:25" ht="29.4">
      <c r="A1" s="35" t="s">
        <v>75</v>
      </c>
      <c r="B1" s="35"/>
      <c r="C1" s="35"/>
      <c r="D1" s="35"/>
      <c r="E1" s="35"/>
      <c r="F1" s="35"/>
      <c r="G1" s="167" t="s">
        <v>1</v>
      </c>
      <c r="H1" s="154"/>
      <c r="I1" s="154"/>
      <c r="J1" s="154"/>
      <c r="K1" s="154"/>
      <c r="L1" s="154"/>
      <c r="M1" s="154"/>
      <c r="N1" s="154"/>
      <c r="O1" s="154"/>
      <c r="P1" s="36"/>
      <c r="Q1" s="35"/>
      <c r="R1" s="35"/>
      <c r="S1" s="35"/>
      <c r="T1" s="35"/>
      <c r="U1" s="35"/>
      <c r="V1" s="35"/>
      <c r="W1" s="35"/>
      <c r="X1" s="35"/>
      <c r="Y1" s="35"/>
    </row>
    <row r="2" spans="1:25" ht="14.4">
      <c r="A2" s="35"/>
      <c r="B2" s="35"/>
      <c r="C2" s="35"/>
      <c r="D2" s="35"/>
      <c r="E2" s="155" t="s">
        <v>2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35"/>
      <c r="U2" s="35"/>
      <c r="V2" s="35"/>
      <c r="W2" s="35"/>
      <c r="X2" s="35"/>
      <c r="Y2" s="35"/>
    </row>
    <row r="3" spans="1:25" ht="14.4">
      <c r="A3" s="35"/>
      <c r="B3" s="35"/>
      <c r="C3" s="35"/>
      <c r="D3" s="3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5"/>
      <c r="U3" s="35"/>
      <c r="V3" s="35"/>
      <c r="W3" s="35"/>
      <c r="X3" s="35"/>
      <c r="Y3" s="35"/>
    </row>
    <row r="4" spans="1:25" ht="14.4">
      <c r="A4" s="159" t="s">
        <v>3</v>
      </c>
      <c r="B4" s="131"/>
      <c r="C4" s="157" t="s">
        <v>88</v>
      </c>
      <c r="D4" s="130"/>
      <c r="E4" s="130"/>
      <c r="F4" s="13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5"/>
      <c r="U4" s="35"/>
      <c r="V4" s="35"/>
      <c r="W4" s="35"/>
      <c r="X4" s="35"/>
      <c r="Y4" s="35"/>
    </row>
    <row r="5" spans="1:25" ht="14.4">
      <c r="A5" s="159" t="s">
        <v>89</v>
      </c>
      <c r="B5" s="131"/>
      <c r="C5" s="158">
        <v>8</v>
      </c>
      <c r="D5" s="130"/>
      <c r="E5" s="130"/>
      <c r="F5" s="13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ht="14.4">
      <c r="A6" s="159" t="s">
        <v>9</v>
      </c>
      <c r="B6" s="131"/>
      <c r="C6" s="158">
        <v>2025</v>
      </c>
      <c r="D6" s="130"/>
      <c r="E6" s="130"/>
      <c r="F6" s="131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 ht="14.4">
      <c r="A7" s="135" t="s">
        <v>10</v>
      </c>
      <c r="B7" s="136"/>
      <c r="C7" s="137" t="s">
        <v>11</v>
      </c>
      <c r="D7" s="138"/>
      <c r="E7" s="138"/>
      <c r="F7" s="139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5" ht="25.2">
      <c r="A8" s="140" t="s">
        <v>12</v>
      </c>
      <c r="B8" s="149" t="s">
        <v>13</v>
      </c>
      <c r="C8" s="143"/>
      <c r="D8" s="144"/>
      <c r="E8" s="168" t="s">
        <v>14</v>
      </c>
      <c r="F8" s="143"/>
      <c r="G8" s="143"/>
      <c r="H8" s="142" t="s">
        <v>16</v>
      </c>
      <c r="I8" s="144"/>
      <c r="J8" s="11" t="s">
        <v>17</v>
      </c>
      <c r="K8" s="142" t="s">
        <v>18</v>
      </c>
      <c r="L8" s="143"/>
      <c r="M8" s="143"/>
      <c r="N8" s="144"/>
      <c r="O8" s="145" t="s">
        <v>15</v>
      </c>
      <c r="P8" s="145" t="s">
        <v>21</v>
      </c>
      <c r="Q8" s="142" t="s">
        <v>22</v>
      </c>
      <c r="R8" s="144"/>
      <c r="S8" s="145" t="s">
        <v>23</v>
      </c>
      <c r="T8" s="142" t="s">
        <v>24</v>
      </c>
      <c r="U8" s="144"/>
      <c r="V8" s="145" t="s">
        <v>25</v>
      </c>
      <c r="W8" s="145" t="s">
        <v>8</v>
      </c>
      <c r="X8" s="145" t="s">
        <v>26</v>
      </c>
      <c r="Y8" s="145" t="s">
        <v>27</v>
      </c>
    </row>
    <row r="9" spans="1:25" ht="50.4">
      <c r="A9" s="141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90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46"/>
      <c r="P9" s="146"/>
      <c r="Q9" s="11" t="s">
        <v>91</v>
      </c>
      <c r="R9" s="11" t="s">
        <v>43</v>
      </c>
      <c r="S9" s="146"/>
      <c r="T9" s="11" t="s">
        <v>44</v>
      </c>
      <c r="U9" s="11" t="s">
        <v>45</v>
      </c>
      <c r="V9" s="146"/>
      <c r="W9" s="146"/>
      <c r="X9" s="146"/>
      <c r="Y9" s="169"/>
    </row>
    <row r="10" spans="1:25" ht="14.4">
      <c r="A10" s="20" t="s">
        <v>46</v>
      </c>
      <c r="B10" s="71">
        <v>0</v>
      </c>
      <c r="C10" s="71">
        <v>0</v>
      </c>
      <c r="D10" s="71">
        <v>0</v>
      </c>
      <c r="E10" s="71">
        <v>0</v>
      </c>
      <c r="F10" s="71">
        <v>1</v>
      </c>
      <c r="G10" s="71">
        <v>0</v>
      </c>
      <c r="H10" s="71">
        <v>37</v>
      </c>
      <c r="I10" s="71">
        <v>25</v>
      </c>
      <c r="J10" s="71">
        <v>1</v>
      </c>
      <c r="K10" s="72">
        <v>5</v>
      </c>
      <c r="L10" s="71">
        <v>3</v>
      </c>
      <c r="M10" s="71">
        <v>1</v>
      </c>
      <c r="N10" s="72">
        <v>0</v>
      </c>
      <c r="O10" s="71">
        <v>1</v>
      </c>
      <c r="P10" s="71">
        <v>1</v>
      </c>
      <c r="Q10" s="71">
        <v>3</v>
      </c>
      <c r="R10" s="73">
        <v>125</v>
      </c>
      <c r="S10" s="74">
        <v>6</v>
      </c>
      <c r="T10" s="71">
        <v>0</v>
      </c>
      <c r="U10" s="71">
        <v>0</v>
      </c>
      <c r="V10" s="74">
        <v>39</v>
      </c>
      <c r="W10" s="74">
        <v>7</v>
      </c>
      <c r="X10" s="121">
        <v>4</v>
      </c>
      <c r="Y10" s="126">
        <f>SUM(B10:X10)</f>
        <v>259</v>
      </c>
    </row>
    <row r="11" spans="1:25" ht="14.4">
      <c r="A11" s="24" t="s">
        <v>47</v>
      </c>
      <c r="B11" s="71">
        <v>0</v>
      </c>
      <c r="C11" s="71">
        <v>0</v>
      </c>
      <c r="D11" s="71">
        <v>0</v>
      </c>
      <c r="E11" s="71">
        <v>0</v>
      </c>
      <c r="F11" s="71">
        <v>1</v>
      </c>
      <c r="G11" s="71">
        <v>2</v>
      </c>
      <c r="H11" s="71">
        <v>81</v>
      </c>
      <c r="I11" s="71">
        <v>32</v>
      </c>
      <c r="J11" s="75">
        <v>0</v>
      </c>
      <c r="K11" s="72">
        <v>0</v>
      </c>
      <c r="L11" s="71">
        <v>5</v>
      </c>
      <c r="M11" s="71">
        <v>3</v>
      </c>
      <c r="N11" s="72">
        <v>1</v>
      </c>
      <c r="O11" s="71">
        <v>0</v>
      </c>
      <c r="P11" s="71">
        <v>0</v>
      </c>
      <c r="Q11" s="71">
        <v>0</v>
      </c>
      <c r="R11" s="73">
        <v>122</v>
      </c>
      <c r="S11" s="75">
        <v>4</v>
      </c>
      <c r="T11" s="71">
        <v>1</v>
      </c>
      <c r="U11" s="71">
        <v>0</v>
      </c>
      <c r="V11" s="76">
        <v>0</v>
      </c>
      <c r="W11" s="76">
        <v>12</v>
      </c>
      <c r="X11" s="122">
        <v>1</v>
      </c>
      <c r="Y11" s="126">
        <f t="shared" ref="Y11:Y21" si="0">SUM(B11:X11)</f>
        <v>265</v>
      </c>
    </row>
    <row r="12" spans="1:25" ht="14.4">
      <c r="A12" s="24" t="s">
        <v>48</v>
      </c>
      <c r="B12" s="71">
        <v>0</v>
      </c>
      <c r="C12" s="71">
        <v>0</v>
      </c>
      <c r="D12" s="71">
        <v>0</v>
      </c>
      <c r="E12" s="71">
        <v>1</v>
      </c>
      <c r="F12" s="71">
        <v>0</v>
      </c>
      <c r="G12" s="71">
        <v>2</v>
      </c>
      <c r="H12" s="71">
        <v>95</v>
      </c>
      <c r="I12" s="71">
        <v>36</v>
      </c>
      <c r="J12" s="77">
        <v>0</v>
      </c>
      <c r="K12" s="72">
        <v>18</v>
      </c>
      <c r="L12" s="71">
        <v>2</v>
      </c>
      <c r="M12" s="71">
        <v>4</v>
      </c>
      <c r="N12" s="72">
        <v>1</v>
      </c>
      <c r="O12" s="77">
        <v>1</v>
      </c>
      <c r="P12" s="77">
        <v>1</v>
      </c>
      <c r="Q12" s="71">
        <v>3</v>
      </c>
      <c r="R12" s="73">
        <v>154</v>
      </c>
      <c r="S12" s="78">
        <v>18</v>
      </c>
      <c r="T12" s="71">
        <v>0</v>
      </c>
      <c r="U12" s="71">
        <v>2</v>
      </c>
      <c r="V12" s="79">
        <v>81</v>
      </c>
      <c r="W12" s="79">
        <v>16</v>
      </c>
      <c r="X12" s="123">
        <v>2</v>
      </c>
      <c r="Y12" s="126">
        <f t="shared" si="0"/>
        <v>437</v>
      </c>
    </row>
    <row r="13" spans="1:25" ht="14.4">
      <c r="A13" s="24" t="s">
        <v>49</v>
      </c>
      <c r="B13" s="71">
        <v>0</v>
      </c>
      <c r="C13" s="71">
        <v>0</v>
      </c>
      <c r="D13" s="71">
        <v>0</v>
      </c>
      <c r="E13" s="71">
        <v>1</v>
      </c>
      <c r="F13" s="71">
        <v>1</v>
      </c>
      <c r="G13" s="71">
        <v>0</v>
      </c>
      <c r="H13" s="71">
        <v>43</v>
      </c>
      <c r="I13" s="71">
        <v>144</v>
      </c>
      <c r="J13" s="77">
        <v>1</v>
      </c>
      <c r="K13" s="72">
        <v>20</v>
      </c>
      <c r="L13" s="71">
        <v>0</v>
      </c>
      <c r="M13" s="71">
        <v>3</v>
      </c>
      <c r="N13" s="72">
        <v>0</v>
      </c>
      <c r="O13" s="80">
        <v>8</v>
      </c>
      <c r="P13" s="80">
        <v>1</v>
      </c>
      <c r="Q13" s="71">
        <v>2</v>
      </c>
      <c r="R13" s="73">
        <v>154</v>
      </c>
      <c r="S13" s="78">
        <v>5</v>
      </c>
      <c r="T13" s="71">
        <v>1</v>
      </c>
      <c r="U13" s="71">
        <v>1</v>
      </c>
      <c r="V13" s="79">
        <v>0</v>
      </c>
      <c r="W13" s="79">
        <v>106</v>
      </c>
      <c r="X13" s="123">
        <v>3</v>
      </c>
      <c r="Y13" s="126">
        <f t="shared" si="0"/>
        <v>494</v>
      </c>
    </row>
    <row r="14" spans="1:25" ht="14.4">
      <c r="A14" s="24" t="s">
        <v>50</v>
      </c>
      <c r="B14" s="81"/>
      <c r="C14" s="81"/>
      <c r="D14" s="81"/>
      <c r="E14" s="81"/>
      <c r="F14" s="81"/>
      <c r="G14" s="81"/>
      <c r="H14" s="81"/>
      <c r="I14" s="81"/>
      <c r="J14" s="82"/>
      <c r="K14" s="83"/>
      <c r="L14" s="81"/>
      <c r="M14" s="81"/>
      <c r="N14" s="83"/>
      <c r="O14" s="82"/>
      <c r="P14" s="82"/>
      <c r="Q14" s="81"/>
      <c r="R14" s="73"/>
      <c r="S14" s="82"/>
      <c r="T14" s="81"/>
      <c r="U14" s="81"/>
      <c r="V14" s="82"/>
      <c r="W14" s="82"/>
      <c r="X14" s="124"/>
      <c r="Y14" s="126">
        <f t="shared" si="0"/>
        <v>0</v>
      </c>
    </row>
    <row r="15" spans="1:25" ht="14.4">
      <c r="A15" s="24" t="s">
        <v>51</v>
      </c>
      <c r="B15" s="81"/>
      <c r="C15" s="81"/>
      <c r="D15" s="81"/>
      <c r="E15" s="81"/>
      <c r="F15" s="81"/>
      <c r="G15" s="81"/>
      <c r="H15" s="81"/>
      <c r="I15" s="81"/>
      <c r="J15" s="84"/>
      <c r="K15" s="83"/>
      <c r="L15" s="81"/>
      <c r="M15" s="81"/>
      <c r="N15" s="83"/>
      <c r="O15" s="84"/>
      <c r="P15" s="84"/>
      <c r="Q15" s="81"/>
      <c r="R15" s="73"/>
      <c r="S15" s="85"/>
      <c r="T15" s="81"/>
      <c r="U15" s="81"/>
      <c r="V15" s="86"/>
      <c r="W15" s="86"/>
      <c r="X15" s="125"/>
      <c r="Y15" s="126">
        <f t="shared" si="0"/>
        <v>0</v>
      </c>
    </row>
    <row r="16" spans="1:25" ht="15.75" customHeight="1">
      <c r="A16" s="24" t="s">
        <v>52</v>
      </c>
      <c r="B16" s="81"/>
      <c r="C16" s="81"/>
      <c r="D16" s="81"/>
      <c r="E16" s="81"/>
      <c r="F16" s="81"/>
      <c r="G16" s="81"/>
      <c r="H16" s="81"/>
      <c r="I16" s="81"/>
      <c r="J16" s="84"/>
      <c r="K16" s="83"/>
      <c r="L16" s="81"/>
      <c r="M16" s="81"/>
      <c r="N16" s="83"/>
      <c r="O16" s="84"/>
      <c r="P16" s="84"/>
      <c r="Q16" s="81"/>
      <c r="R16" s="73"/>
      <c r="S16" s="85"/>
      <c r="T16" s="81"/>
      <c r="U16" s="81"/>
      <c r="V16" s="86"/>
      <c r="W16" s="86"/>
      <c r="X16" s="125"/>
      <c r="Y16" s="126">
        <f t="shared" si="0"/>
        <v>0</v>
      </c>
    </row>
    <row r="17" spans="1:25" ht="15.75" customHeight="1">
      <c r="A17" s="24" t="s">
        <v>53</v>
      </c>
      <c r="B17" s="81"/>
      <c r="C17" s="81"/>
      <c r="D17" s="81"/>
      <c r="E17" s="81"/>
      <c r="F17" s="81"/>
      <c r="G17" s="81"/>
      <c r="H17" s="81"/>
      <c r="I17" s="81"/>
      <c r="J17" s="84"/>
      <c r="K17" s="83"/>
      <c r="L17" s="81"/>
      <c r="M17" s="81"/>
      <c r="N17" s="83"/>
      <c r="O17" s="84"/>
      <c r="P17" s="84"/>
      <c r="Q17" s="81"/>
      <c r="R17" s="73"/>
      <c r="S17" s="85"/>
      <c r="T17" s="81"/>
      <c r="U17" s="81"/>
      <c r="V17" s="86"/>
      <c r="W17" s="86"/>
      <c r="X17" s="125"/>
      <c r="Y17" s="126">
        <f t="shared" si="0"/>
        <v>0</v>
      </c>
    </row>
    <row r="18" spans="1:25" ht="27.75" customHeight="1">
      <c r="A18" s="24" t="s">
        <v>54</v>
      </c>
      <c r="B18" s="81"/>
      <c r="C18" s="81"/>
      <c r="D18" s="81"/>
      <c r="E18" s="81"/>
      <c r="F18" s="81"/>
      <c r="G18" s="81"/>
      <c r="H18" s="81"/>
      <c r="I18" s="81"/>
      <c r="J18" s="87"/>
      <c r="K18" s="83"/>
      <c r="L18" s="81"/>
      <c r="M18" s="81"/>
      <c r="N18" s="83"/>
      <c r="O18" s="84"/>
      <c r="P18" s="84"/>
      <c r="Q18" s="81"/>
      <c r="R18" s="73"/>
      <c r="S18" s="85"/>
      <c r="T18" s="81"/>
      <c r="U18" s="81"/>
      <c r="V18" s="86"/>
      <c r="W18" s="86"/>
      <c r="X18" s="125"/>
      <c r="Y18" s="126">
        <f t="shared" si="0"/>
        <v>0</v>
      </c>
    </row>
    <row r="19" spans="1:25" ht="15.75" customHeight="1">
      <c r="A19" s="24" t="s">
        <v>55</v>
      </c>
      <c r="B19" s="71"/>
      <c r="C19" s="71"/>
      <c r="D19" s="71"/>
      <c r="E19" s="71"/>
      <c r="F19" s="71"/>
      <c r="G19" s="71"/>
      <c r="H19" s="71"/>
      <c r="I19" s="71"/>
      <c r="J19" s="88"/>
      <c r="K19" s="72"/>
      <c r="L19" s="71"/>
      <c r="M19" s="71"/>
      <c r="N19" s="72"/>
      <c r="O19" s="77"/>
      <c r="P19" s="77"/>
      <c r="Q19" s="71"/>
      <c r="R19" s="73"/>
      <c r="S19" s="78"/>
      <c r="T19" s="71"/>
      <c r="U19" s="71"/>
      <c r="V19" s="79"/>
      <c r="W19" s="79"/>
      <c r="X19" s="123"/>
      <c r="Y19" s="126">
        <f t="shared" si="0"/>
        <v>0</v>
      </c>
    </row>
    <row r="20" spans="1:25" ht="27.75" customHeight="1">
      <c r="A20" s="24" t="s">
        <v>56</v>
      </c>
      <c r="B20" s="71"/>
      <c r="C20" s="71"/>
      <c r="D20" s="71"/>
      <c r="E20" s="71"/>
      <c r="F20" s="71"/>
      <c r="G20" s="71"/>
      <c r="H20" s="71"/>
      <c r="I20" s="71"/>
      <c r="J20" s="88"/>
      <c r="K20" s="72"/>
      <c r="L20" s="71"/>
      <c r="M20" s="71"/>
      <c r="N20" s="72"/>
      <c r="O20" s="77"/>
      <c r="P20" s="77"/>
      <c r="Q20" s="71"/>
      <c r="R20" s="73"/>
      <c r="S20" s="78"/>
      <c r="T20" s="71"/>
      <c r="U20" s="71"/>
      <c r="V20" s="79"/>
      <c r="W20" s="79"/>
      <c r="X20" s="123"/>
      <c r="Y20" s="126">
        <f t="shared" si="0"/>
        <v>0</v>
      </c>
    </row>
    <row r="21" spans="1:25" ht="15.75" customHeight="1">
      <c r="A21" s="24" t="s">
        <v>57</v>
      </c>
      <c r="B21" s="81"/>
      <c r="C21" s="81"/>
      <c r="D21" s="81"/>
      <c r="E21" s="71"/>
      <c r="F21" s="71"/>
      <c r="G21" s="71"/>
      <c r="H21" s="71"/>
      <c r="I21" s="71"/>
      <c r="J21" s="88"/>
      <c r="K21" s="72"/>
      <c r="L21" s="71"/>
      <c r="M21" s="71"/>
      <c r="N21" s="72"/>
      <c r="O21" s="77"/>
      <c r="P21" s="77"/>
      <c r="Q21" s="71"/>
      <c r="R21" s="73"/>
      <c r="S21" s="78"/>
      <c r="T21" s="71"/>
      <c r="U21" s="71"/>
      <c r="V21" s="79"/>
      <c r="W21" s="79"/>
      <c r="X21" s="123"/>
      <c r="Y21" s="126">
        <f t="shared" si="0"/>
        <v>0</v>
      </c>
    </row>
    <row r="22" spans="1:25" ht="15.75" customHeight="1"/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</sheetData>
  <mergeCells count="24">
    <mergeCell ref="T8:U8"/>
    <mergeCell ref="V8:V9"/>
    <mergeCell ref="W8:W9"/>
    <mergeCell ref="X8:X9"/>
    <mergeCell ref="Y8:Y9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A6:B6"/>
    <mergeCell ref="A7:B7"/>
    <mergeCell ref="C7:F7"/>
    <mergeCell ref="A8:A9"/>
    <mergeCell ref="B8:D8"/>
    <mergeCell ref="E8:G8"/>
  </mergeCells>
  <pageMargins left="0.7" right="0.7" top="0.75" bottom="0.75" header="0" footer="0"/>
  <pageSetup paperSize="5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97"/>
  <sheetViews>
    <sheetView topLeftCell="H3" workbookViewId="0">
      <selection activeCell="Y10" sqref="Y10:Y21"/>
    </sheetView>
  </sheetViews>
  <sheetFormatPr baseColWidth="10" defaultColWidth="14.44140625" defaultRowHeight="15" customHeight="1"/>
  <cols>
    <col min="1" max="1" width="14" customWidth="1"/>
    <col min="2" max="30" width="11.44140625" customWidth="1"/>
  </cols>
  <sheetData>
    <row r="1" spans="1:25" ht="29.4">
      <c r="A1" s="90" t="s">
        <v>75</v>
      </c>
      <c r="B1" s="35"/>
      <c r="C1" s="35"/>
      <c r="D1" s="35"/>
      <c r="E1" s="35"/>
      <c r="F1" s="35"/>
      <c r="G1" s="167" t="s">
        <v>1</v>
      </c>
      <c r="H1" s="154"/>
      <c r="I1" s="154"/>
      <c r="J1" s="154"/>
      <c r="K1" s="154"/>
      <c r="L1" s="154"/>
      <c r="M1" s="154"/>
      <c r="N1" s="154"/>
      <c r="O1" s="154"/>
      <c r="P1" s="36"/>
      <c r="Q1" s="35"/>
      <c r="R1" s="35"/>
      <c r="S1" s="35"/>
      <c r="T1" s="35"/>
      <c r="U1" s="35"/>
      <c r="V1" s="35"/>
      <c r="W1" s="35"/>
      <c r="X1" s="35"/>
      <c r="Y1" s="35"/>
    </row>
    <row r="2" spans="1:25" ht="14.4">
      <c r="A2" s="35"/>
      <c r="B2" s="35"/>
      <c r="C2" s="35"/>
      <c r="D2" s="35"/>
      <c r="E2" s="155" t="s">
        <v>2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35"/>
      <c r="U2" s="35"/>
      <c r="V2" s="35"/>
      <c r="W2" s="35"/>
      <c r="X2" s="35"/>
      <c r="Y2" s="35"/>
    </row>
    <row r="3" spans="1:25" ht="14.4">
      <c r="A3" s="35"/>
      <c r="B3" s="35"/>
      <c r="C3" s="35"/>
      <c r="D3" s="3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5"/>
      <c r="U3" s="35"/>
      <c r="V3" s="35"/>
      <c r="W3" s="35"/>
      <c r="X3" s="35"/>
      <c r="Y3" s="35"/>
    </row>
    <row r="4" spans="1:25" ht="14.4">
      <c r="A4" s="159" t="s">
        <v>3</v>
      </c>
      <c r="B4" s="131"/>
      <c r="C4" s="170" t="s">
        <v>92</v>
      </c>
      <c r="D4" s="130"/>
      <c r="E4" s="130"/>
      <c r="F4" s="13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5"/>
      <c r="U4" s="35"/>
      <c r="V4" s="35"/>
      <c r="W4" s="35"/>
      <c r="X4" s="35"/>
      <c r="Y4" s="35"/>
    </row>
    <row r="5" spans="1:25" ht="14.4">
      <c r="A5" s="159" t="s">
        <v>89</v>
      </c>
      <c r="B5" s="131"/>
      <c r="C5" s="158">
        <v>7</v>
      </c>
      <c r="D5" s="130"/>
      <c r="E5" s="130"/>
      <c r="F5" s="13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ht="14.4">
      <c r="A6" s="159" t="s">
        <v>9</v>
      </c>
      <c r="B6" s="131"/>
      <c r="C6" s="158">
        <v>2025</v>
      </c>
      <c r="D6" s="130"/>
      <c r="E6" s="130"/>
      <c r="F6" s="131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 ht="14.4">
      <c r="A7" s="135" t="s">
        <v>10</v>
      </c>
      <c r="B7" s="136"/>
      <c r="C7" s="137" t="s">
        <v>11</v>
      </c>
      <c r="D7" s="138"/>
      <c r="E7" s="138"/>
      <c r="F7" s="139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5" ht="25.2">
      <c r="A8" s="140" t="s">
        <v>12</v>
      </c>
      <c r="B8" s="149" t="s">
        <v>13</v>
      </c>
      <c r="C8" s="143"/>
      <c r="D8" s="144"/>
      <c r="E8" s="168" t="s">
        <v>14</v>
      </c>
      <c r="F8" s="143"/>
      <c r="G8" s="143"/>
      <c r="H8" s="142" t="s">
        <v>16</v>
      </c>
      <c r="I8" s="144"/>
      <c r="J8" s="11" t="s">
        <v>17</v>
      </c>
      <c r="K8" s="142" t="s">
        <v>18</v>
      </c>
      <c r="L8" s="143"/>
      <c r="M8" s="143"/>
      <c r="N8" s="144"/>
      <c r="O8" s="145" t="s">
        <v>15</v>
      </c>
      <c r="P8" s="145" t="s">
        <v>21</v>
      </c>
      <c r="Q8" s="142" t="s">
        <v>22</v>
      </c>
      <c r="R8" s="144"/>
      <c r="S8" s="145" t="s">
        <v>23</v>
      </c>
      <c r="T8" s="142" t="s">
        <v>24</v>
      </c>
      <c r="U8" s="144"/>
      <c r="V8" s="145" t="s">
        <v>25</v>
      </c>
      <c r="W8" s="145" t="s">
        <v>8</v>
      </c>
      <c r="X8" s="145" t="s">
        <v>26</v>
      </c>
      <c r="Y8" s="145" t="s">
        <v>27</v>
      </c>
    </row>
    <row r="9" spans="1:25" ht="50.4">
      <c r="A9" s="141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90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46"/>
      <c r="P9" s="146"/>
      <c r="Q9" s="11" t="s">
        <v>91</v>
      </c>
      <c r="R9" s="11" t="s">
        <v>43</v>
      </c>
      <c r="S9" s="146"/>
      <c r="T9" s="11" t="s">
        <v>44</v>
      </c>
      <c r="U9" s="11" t="s">
        <v>45</v>
      </c>
      <c r="V9" s="146"/>
      <c r="W9" s="146"/>
      <c r="X9" s="146"/>
      <c r="Y9" s="146"/>
    </row>
    <row r="10" spans="1:25" ht="14.4">
      <c r="A10" s="20" t="s">
        <v>46</v>
      </c>
      <c r="B10" s="71">
        <v>0</v>
      </c>
      <c r="C10" s="71">
        <v>0</v>
      </c>
      <c r="D10" s="71">
        <v>0</v>
      </c>
      <c r="E10" s="71">
        <v>2</v>
      </c>
      <c r="F10" s="71">
        <v>4</v>
      </c>
      <c r="G10" s="71">
        <v>0</v>
      </c>
      <c r="H10" s="71">
        <v>314</v>
      </c>
      <c r="I10" s="71">
        <v>102</v>
      </c>
      <c r="J10" s="71">
        <v>1</v>
      </c>
      <c r="K10" s="72">
        <v>88</v>
      </c>
      <c r="L10" s="71">
        <v>18</v>
      </c>
      <c r="M10" s="71">
        <v>27</v>
      </c>
      <c r="N10" s="72">
        <v>0</v>
      </c>
      <c r="O10" s="71">
        <v>1</v>
      </c>
      <c r="P10" s="71">
        <v>0</v>
      </c>
      <c r="Q10" s="71">
        <v>0</v>
      </c>
      <c r="R10" s="73">
        <v>569</v>
      </c>
      <c r="S10" s="74">
        <v>1</v>
      </c>
      <c r="T10" s="71">
        <v>2</v>
      </c>
      <c r="U10" s="71">
        <v>0</v>
      </c>
      <c r="V10" s="74">
        <v>84</v>
      </c>
      <c r="W10" s="74">
        <v>55</v>
      </c>
      <c r="X10" s="74">
        <v>7</v>
      </c>
      <c r="Y10" s="120">
        <f>SUM(B10:X10)</f>
        <v>1275</v>
      </c>
    </row>
    <row r="11" spans="1:25" ht="14.4">
      <c r="A11" s="24" t="s">
        <v>47</v>
      </c>
      <c r="B11" s="71">
        <v>0</v>
      </c>
      <c r="C11" s="71">
        <v>0</v>
      </c>
      <c r="D11" s="71">
        <v>0</v>
      </c>
      <c r="E11" s="71">
        <v>2</v>
      </c>
      <c r="F11" s="71">
        <v>5</v>
      </c>
      <c r="G11" s="71">
        <v>0</v>
      </c>
      <c r="H11" s="71">
        <v>411</v>
      </c>
      <c r="I11" s="71">
        <v>191</v>
      </c>
      <c r="J11" s="75">
        <v>3</v>
      </c>
      <c r="K11" s="72">
        <v>92</v>
      </c>
      <c r="L11" s="71">
        <v>19</v>
      </c>
      <c r="M11" s="71">
        <v>52</v>
      </c>
      <c r="N11" s="72">
        <v>1</v>
      </c>
      <c r="O11" s="71">
        <v>1</v>
      </c>
      <c r="P11" s="71">
        <v>44</v>
      </c>
      <c r="Q11" s="71">
        <v>3</v>
      </c>
      <c r="R11" s="73">
        <v>758</v>
      </c>
      <c r="S11" s="75">
        <v>1</v>
      </c>
      <c r="T11" s="71">
        <v>0</v>
      </c>
      <c r="U11" s="71">
        <v>0</v>
      </c>
      <c r="V11" s="76">
        <v>71</v>
      </c>
      <c r="W11" s="76">
        <v>82</v>
      </c>
      <c r="X11" s="76">
        <v>0</v>
      </c>
      <c r="Y11" s="120">
        <f t="shared" ref="Y11:Y21" si="0">SUM(B11:X11)</f>
        <v>1736</v>
      </c>
    </row>
    <row r="12" spans="1:25" ht="14.4">
      <c r="A12" s="24" t="s">
        <v>48</v>
      </c>
      <c r="B12" s="71">
        <v>0</v>
      </c>
      <c r="C12" s="71">
        <v>0</v>
      </c>
      <c r="D12" s="71">
        <v>0</v>
      </c>
      <c r="E12" s="71">
        <v>3</v>
      </c>
      <c r="F12" s="71">
        <v>5</v>
      </c>
      <c r="G12" s="71">
        <v>0</v>
      </c>
      <c r="H12" s="71">
        <v>458</v>
      </c>
      <c r="I12" s="71">
        <v>103</v>
      </c>
      <c r="J12" s="77">
        <v>2</v>
      </c>
      <c r="K12" s="72">
        <v>88</v>
      </c>
      <c r="L12" s="71">
        <v>20</v>
      </c>
      <c r="M12" s="71">
        <v>45</v>
      </c>
      <c r="N12" s="72">
        <v>0</v>
      </c>
      <c r="O12" s="77">
        <v>0</v>
      </c>
      <c r="P12" s="77">
        <v>7</v>
      </c>
      <c r="Q12" s="71">
        <v>2</v>
      </c>
      <c r="R12" s="73">
        <v>545</v>
      </c>
      <c r="S12" s="78">
        <v>4</v>
      </c>
      <c r="T12" s="71">
        <v>1</v>
      </c>
      <c r="U12" s="71">
        <v>1</v>
      </c>
      <c r="V12" s="79">
        <v>193</v>
      </c>
      <c r="W12" s="79">
        <v>49</v>
      </c>
      <c r="X12" s="79">
        <v>13</v>
      </c>
      <c r="Y12" s="120">
        <f t="shared" si="0"/>
        <v>1539</v>
      </c>
    </row>
    <row r="13" spans="1:25" ht="14.4">
      <c r="A13" s="24" t="s">
        <v>49</v>
      </c>
      <c r="B13" s="71">
        <v>0</v>
      </c>
      <c r="C13" s="71">
        <v>0</v>
      </c>
      <c r="D13" s="71">
        <v>0</v>
      </c>
      <c r="E13" s="71">
        <v>4</v>
      </c>
      <c r="F13" s="71">
        <v>4</v>
      </c>
      <c r="G13" s="71">
        <v>0</v>
      </c>
      <c r="H13" s="71">
        <v>449</v>
      </c>
      <c r="I13" s="71">
        <v>50</v>
      </c>
      <c r="J13" s="77">
        <v>0</v>
      </c>
      <c r="K13" s="72">
        <v>148</v>
      </c>
      <c r="L13" s="71">
        <v>15</v>
      </c>
      <c r="M13" s="71">
        <v>33</v>
      </c>
      <c r="N13" s="72">
        <v>1</v>
      </c>
      <c r="O13" s="80">
        <v>0</v>
      </c>
      <c r="P13" s="80">
        <v>11</v>
      </c>
      <c r="Q13" s="71">
        <v>3</v>
      </c>
      <c r="R13" s="73">
        <v>758</v>
      </c>
      <c r="S13" s="78">
        <v>7</v>
      </c>
      <c r="T13" s="71">
        <v>0</v>
      </c>
      <c r="U13" s="71">
        <v>2</v>
      </c>
      <c r="V13" s="79">
        <v>209</v>
      </c>
      <c r="W13" s="79">
        <v>125</v>
      </c>
      <c r="X13" s="79">
        <v>5</v>
      </c>
      <c r="Y13" s="120">
        <f t="shared" si="0"/>
        <v>1824</v>
      </c>
    </row>
    <row r="14" spans="1:25" ht="14.4">
      <c r="A14" s="24" t="s">
        <v>50</v>
      </c>
      <c r="B14" s="81"/>
      <c r="C14" s="81"/>
      <c r="D14" s="81"/>
      <c r="E14" s="81"/>
      <c r="F14" s="81"/>
      <c r="G14" s="81"/>
      <c r="H14" s="81"/>
      <c r="I14" s="81"/>
      <c r="J14" s="82"/>
      <c r="K14" s="83"/>
      <c r="L14" s="81"/>
      <c r="M14" s="81"/>
      <c r="N14" s="83"/>
      <c r="O14" s="82"/>
      <c r="P14" s="82"/>
      <c r="Q14" s="81"/>
      <c r="R14" s="73"/>
      <c r="S14" s="82"/>
      <c r="T14" s="81"/>
      <c r="U14" s="81"/>
      <c r="V14" s="82"/>
      <c r="W14" s="82"/>
      <c r="X14" s="82"/>
      <c r="Y14" s="120">
        <f t="shared" si="0"/>
        <v>0</v>
      </c>
    </row>
    <row r="15" spans="1:25" ht="14.4">
      <c r="A15" s="24" t="s">
        <v>51</v>
      </c>
      <c r="B15" s="81"/>
      <c r="C15" s="81"/>
      <c r="D15" s="81"/>
      <c r="E15" s="81"/>
      <c r="F15" s="81"/>
      <c r="G15" s="81"/>
      <c r="H15" s="81"/>
      <c r="I15" s="81"/>
      <c r="J15" s="84"/>
      <c r="K15" s="83"/>
      <c r="L15" s="81"/>
      <c r="M15" s="81"/>
      <c r="N15" s="83"/>
      <c r="O15" s="84"/>
      <c r="P15" s="84"/>
      <c r="Q15" s="81"/>
      <c r="R15" s="73"/>
      <c r="S15" s="85"/>
      <c r="T15" s="81"/>
      <c r="U15" s="81"/>
      <c r="V15" s="86"/>
      <c r="W15" s="86"/>
      <c r="X15" s="86"/>
      <c r="Y15" s="120">
        <f t="shared" si="0"/>
        <v>0</v>
      </c>
    </row>
    <row r="16" spans="1:25" ht="15.75" customHeight="1">
      <c r="A16" s="24" t="s">
        <v>52</v>
      </c>
      <c r="B16" s="81"/>
      <c r="C16" s="81"/>
      <c r="D16" s="81"/>
      <c r="E16" s="81"/>
      <c r="F16" s="81"/>
      <c r="G16" s="81"/>
      <c r="H16" s="81"/>
      <c r="I16" s="81"/>
      <c r="J16" s="84"/>
      <c r="K16" s="83"/>
      <c r="L16" s="81"/>
      <c r="M16" s="81"/>
      <c r="N16" s="83"/>
      <c r="O16" s="84"/>
      <c r="P16" s="84"/>
      <c r="Q16" s="81"/>
      <c r="R16" s="73"/>
      <c r="S16" s="85"/>
      <c r="T16" s="81"/>
      <c r="U16" s="81"/>
      <c r="V16" s="86"/>
      <c r="W16" s="86"/>
      <c r="X16" s="86"/>
      <c r="Y16" s="120">
        <f t="shared" si="0"/>
        <v>0</v>
      </c>
    </row>
    <row r="17" spans="1:25" ht="15.75" customHeight="1">
      <c r="A17" s="24" t="s">
        <v>53</v>
      </c>
      <c r="B17" s="81"/>
      <c r="C17" s="81"/>
      <c r="D17" s="81"/>
      <c r="E17" s="81"/>
      <c r="F17" s="81"/>
      <c r="G17" s="81"/>
      <c r="H17" s="81"/>
      <c r="I17" s="81"/>
      <c r="J17" s="84"/>
      <c r="K17" s="83"/>
      <c r="L17" s="81"/>
      <c r="M17" s="81"/>
      <c r="N17" s="83"/>
      <c r="O17" s="84"/>
      <c r="P17" s="84"/>
      <c r="Q17" s="81"/>
      <c r="R17" s="73"/>
      <c r="S17" s="85"/>
      <c r="T17" s="81"/>
      <c r="U17" s="81"/>
      <c r="V17" s="86"/>
      <c r="W17" s="86"/>
      <c r="X17" s="86"/>
      <c r="Y17" s="120">
        <f t="shared" si="0"/>
        <v>0</v>
      </c>
    </row>
    <row r="18" spans="1:25" ht="27.75" customHeight="1">
      <c r="A18" s="24" t="s">
        <v>54</v>
      </c>
      <c r="B18" s="81"/>
      <c r="C18" s="81"/>
      <c r="D18" s="81"/>
      <c r="E18" s="81"/>
      <c r="F18" s="81"/>
      <c r="G18" s="81"/>
      <c r="H18" s="81"/>
      <c r="I18" s="81"/>
      <c r="J18" s="87"/>
      <c r="K18" s="83"/>
      <c r="L18" s="81"/>
      <c r="M18" s="81"/>
      <c r="N18" s="83"/>
      <c r="O18" s="84"/>
      <c r="P18" s="84"/>
      <c r="Q18" s="81"/>
      <c r="R18" s="73"/>
      <c r="S18" s="85"/>
      <c r="T18" s="81"/>
      <c r="U18" s="81"/>
      <c r="V18" s="86"/>
      <c r="W18" s="86"/>
      <c r="X18" s="86"/>
      <c r="Y18" s="120">
        <f t="shared" si="0"/>
        <v>0</v>
      </c>
    </row>
    <row r="19" spans="1:25" ht="15.75" customHeight="1">
      <c r="A19" s="24" t="s">
        <v>55</v>
      </c>
      <c r="B19" s="71"/>
      <c r="C19" s="71"/>
      <c r="D19" s="71"/>
      <c r="E19" s="71"/>
      <c r="F19" s="71"/>
      <c r="G19" s="71"/>
      <c r="H19" s="71"/>
      <c r="I19" s="71"/>
      <c r="J19" s="88"/>
      <c r="K19" s="72"/>
      <c r="L19" s="71"/>
      <c r="M19" s="71"/>
      <c r="N19" s="72"/>
      <c r="O19" s="77"/>
      <c r="P19" s="77"/>
      <c r="Q19" s="71"/>
      <c r="R19" s="73"/>
      <c r="S19" s="78"/>
      <c r="T19" s="71"/>
      <c r="U19" s="71"/>
      <c r="V19" s="79"/>
      <c r="W19" s="79"/>
      <c r="X19" s="79"/>
      <c r="Y19" s="120">
        <f t="shared" si="0"/>
        <v>0</v>
      </c>
    </row>
    <row r="20" spans="1:25" ht="27.75" customHeight="1">
      <c r="A20" s="24" t="s">
        <v>56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120">
        <f t="shared" si="0"/>
        <v>0</v>
      </c>
    </row>
    <row r="21" spans="1:25" ht="15.75" customHeight="1">
      <c r="A21" s="24" t="s">
        <v>57</v>
      </c>
      <c r="B21" s="91"/>
      <c r="C21" s="91"/>
      <c r="D21" s="91"/>
      <c r="E21" s="92"/>
      <c r="F21" s="92"/>
      <c r="G21" s="92"/>
      <c r="H21" s="92"/>
      <c r="I21" s="92"/>
      <c r="J21" s="88"/>
      <c r="K21" s="93"/>
      <c r="L21" s="92"/>
      <c r="M21" s="92"/>
      <c r="N21" s="72"/>
      <c r="O21" s="77"/>
      <c r="P21" s="77"/>
      <c r="Q21" s="92"/>
      <c r="R21" s="94"/>
      <c r="S21" s="78"/>
      <c r="T21" s="92"/>
      <c r="U21" s="92"/>
      <c r="V21" s="79"/>
      <c r="W21" s="79"/>
      <c r="X21" s="79"/>
      <c r="Y21" s="120">
        <f t="shared" si="0"/>
        <v>0</v>
      </c>
    </row>
    <row r="22" spans="1:25" ht="15.75" customHeight="1"/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24">
    <mergeCell ref="X8:X9"/>
    <mergeCell ref="Y8:Y9"/>
    <mergeCell ref="T8:U8"/>
    <mergeCell ref="V8:V9"/>
    <mergeCell ref="W8:W9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A6:B6"/>
    <mergeCell ref="A7:B7"/>
    <mergeCell ref="C7:F7"/>
    <mergeCell ref="A8:A9"/>
    <mergeCell ref="B8:D8"/>
    <mergeCell ref="E8:G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828"/>
  <sheetViews>
    <sheetView topLeftCell="H5" workbookViewId="0">
      <selection activeCell="Y10" sqref="Y10:Y21"/>
    </sheetView>
  </sheetViews>
  <sheetFormatPr baseColWidth="10" defaultColWidth="14.44140625" defaultRowHeight="15" customHeight="1"/>
  <cols>
    <col min="1" max="1" width="13.44140625" customWidth="1"/>
    <col min="2" max="30" width="11.44140625" customWidth="1"/>
  </cols>
  <sheetData>
    <row r="1" spans="1:25" ht="29.4">
      <c r="A1" s="35" t="s">
        <v>75</v>
      </c>
      <c r="B1" s="35"/>
      <c r="C1" s="35"/>
      <c r="D1" s="35"/>
      <c r="E1" s="35"/>
      <c r="F1" s="35"/>
      <c r="G1" s="167" t="s">
        <v>1</v>
      </c>
      <c r="H1" s="154"/>
      <c r="I1" s="154"/>
      <c r="J1" s="154"/>
      <c r="K1" s="154"/>
      <c r="L1" s="154"/>
      <c r="M1" s="154"/>
      <c r="N1" s="154"/>
      <c r="O1" s="154"/>
      <c r="P1" s="36"/>
      <c r="Q1" s="35"/>
      <c r="R1" s="35"/>
      <c r="S1" s="35"/>
      <c r="T1" s="35"/>
      <c r="U1" s="35"/>
      <c r="V1" s="35"/>
      <c r="W1" s="35"/>
      <c r="X1" s="35"/>
      <c r="Y1" s="35"/>
    </row>
    <row r="2" spans="1:25" ht="14.4">
      <c r="A2" s="35"/>
      <c r="B2" s="35"/>
      <c r="C2" s="35"/>
      <c r="D2" s="35"/>
      <c r="E2" s="155" t="s">
        <v>2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35"/>
      <c r="U2" s="35"/>
      <c r="V2" s="35"/>
      <c r="W2" s="35"/>
      <c r="X2" s="35"/>
      <c r="Y2" s="35"/>
    </row>
    <row r="3" spans="1:25" ht="14.4">
      <c r="A3" s="35"/>
      <c r="B3" s="35"/>
      <c r="C3" s="35"/>
      <c r="D3" s="3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5"/>
      <c r="U3" s="35"/>
      <c r="V3" s="35"/>
      <c r="W3" s="35"/>
      <c r="X3" s="35"/>
      <c r="Y3" s="35"/>
    </row>
    <row r="4" spans="1:25" ht="14.4">
      <c r="A4" s="159" t="s">
        <v>3</v>
      </c>
      <c r="B4" s="131"/>
      <c r="C4" s="157" t="s">
        <v>93</v>
      </c>
      <c r="D4" s="130"/>
      <c r="E4" s="130"/>
      <c r="F4" s="13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5"/>
      <c r="U4" s="35"/>
      <c r="V4" s="35"/>
      <c r="W4" s="35"/>
      <c r="X4" s="35"/>
      <c r="Y4" s="35"/>
    </row>
    <row r="5" spans="1:25" ht="14.4">
      <c r="A5" s="159" t="s">
        <v>89</v>
      </c>
      <c r="B5" s="131"/>
      <c r="C5" s="158" t="s">
        <v>94</v>
      </c>
      <c r="D5" s="130"/>
      <c r="E5" s="130"/>
      <c r="F5" s="13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ht="14.4">
      <c r="A6" s="159" t="s">
        <v>9</v>
      </c>
      <c r="B6" s="131"/>
      <c r="C6" s="158">
        <v>2025</v>
      </c>
      <c r="D6" s="130"/>
      <c r="E6" s="130"/>
      <c r="F6" s="131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 ht="14.4">
      <c r="A7" s="135" t="s">
        <v>10</v>
      </c>
      <c r="B7" s="136"/>
      <c r="C7" s="137" t="s">
        <v>11</v>
      </c>
      <c r="D7" s="138"/>
      <c r="E7" s="138"/>
      <c r="F7" s="139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5" ht="25.2">
      <c r="A8" s="140" t="s">
        <v>12</v>
      </c>
      <c r="B8" s="149" t="s">
        <v>13</v>
      </c>
      <c r="C8" s="143"/>
      <c r="D8" s="144"/>
      <c r="E8" s="168" t="s">
        <v>14</v>
      </c>
      <c r="F8" s="143"/>
      <c r="G8" s="143"/>
      <c r="H8" s="142" t="s">
        <v>16</v>
      </c>
      <c r="I8" s="144"/>
      <c r="J8" s="11" t="s">
        <v>17</v>
      </c>
      <c r="K8" s="142" t="s">
        <v>18</v>
      </c>
      <c r="L8" s="143"/>
      <c r="M8" s="143"/>
      <c r="N8" s="144"/>
      <c r="O8" s="145" t="s">
        <v>15</v>
      </c>
      <c r="P8" s="145" t="s">
        <v>21</v>
      </c>
      <c r="Q8" s="142" t="s">
        <v>22</v>
      </c>
      <c r="R8" s="144"/>
      <c r="S8" s="145" t="s">
        <v>23</v>
      </c>
      <c r="T8" s="142" t="s">
        <v>24</v>
      </c>
      <c r="U8" s="144"/>
      <c r="V8" s="145" t="s">
        <v>25</v>
      </c>
      <c r="W8" s="145" t="s">
        <v>8</v>
      </c>
      <c r="X8" s="145" t="s">
        <v>26</v>
      </c>
      <c r="Y8" s="145" t="s">
        <v>27</v>
      </c>
    </row>
    <row r="9" spans="1:25" ht="50.4">
      <c r="A9" s="141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90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46"/>
      <c r="P9" s="146"/>
      <c r="Q9" s="11" t="s">
        <v>91</v>
      </c>
      <c r="R9" s="11" t="s">
        <v>43</v>
      </c>
      <c r="S9" s="146"/>
      <c r="T9" s="11" t="s">
        <v>44</v>
      </c>
      <c r="U9" s="11" t="s">
        <v>45</v>
      </c>
      <c r="V9" s="146"/>
      <c r="W9" s="146"/>
      <c r="X9" s="146"/>
      <c r="Y9" s="146"/>
    </row>
    <row r="10" spans="1:25" ht="14.4">
      <c r="A10" s="20" t="s">
        <v>46</v>
      </c>
      <c r="B10" s="71">
        <v>0</v>
      </c>
      <c r="C10" s="71">
        <v>0</v>
      </c>
      <c r="D10" s="71">
        <v>0</v>
      </c>
      <c r="E10" s="71">
        <v>13</v>
      </c>
      <c r="F10" s="71">
        <v>5</v>
      </c>
      <c r="G10" s="71">
        <v>0</v>
      </c>
      <c r="H10" s="71">
        <v>210</v>
      </c>
      <c r="I10" s="71">
        <v>86</v>
      </c>
      <c r="J10" s="71">
        <v>4</v>
      </c>
      <c r="K10" s="72">
        <v>126</v>
      </c>
      <c r="L10" s="71">
        <v>20</v>
      </c>
      <c r="M10" s="71">
        <v>49</v>
      </c>
      <c r="N10" s="72">
        <v>4</v>
      </c>
      <c r="O10" s="71">
        <v>0</v>
      </c>
      <c r="P10" s="71">
        <v>23</v>
      </c>
      <c r="Q10" s="71">
        <v>8</v>
      </c>
      <c r="R10" s="73">
        <v>312</v>
      </c>
      <c r="S10" s="74">
        <v>9</v>
      </c>
      <c r="T10" s="71">
        <v>0</v>
      </c>
      <c r="U10" s="71">
        <v>3</v>
      </c>
      <c r="V10" s="74">
        <v>97</v>
      </c>
      <c r="W10" s="74">
        <v>45</v>
      </c>
      <c r="X10" s="74">
        <v>12</v>
      </c>
      <c r="Y10" s="120">
        <f>SUM(B10:X10)</f>
        <v>1026</v>
      </c>
    </row>
    <row r="11" spans="1:25" ht="14.4">
      <c r="A11" s="24" t="s">
        <v>47</v>
      </c>
      <c r="B11" s="71">
        <v>0</v>
      </c>
      <c r="C11" s="71">
        <v>0</v>
      </c>
      <c r="D11" s="71">
        <v>0</v>
      </c>
      <c r="E11" s="71">
        <v>11</v>
      </c>
      <c r="F11" s="71">
        <v>7</v>
      </c>
      <c r="G11" s="71">
        <v>3</v>
      </c>
      <c r="H11" s="71">
        <v>364</v>
      </c>
      <c r="I11" s="71">
        <v>87</v>
      </c>
      <c r="J11" s="75">
        <v>11</v>
      </c>
      <c r="K11" s="72">
        <v>137</v>
      </c>
      <c r="L11" s="71">
        <v>24</v>
      </c>
      <c r="M11" s="71">
        <v>46</v>
      </c>
      <c r="N11" s="72">
        <v>5</v>
      </c>
      <c r="O11" s="71">
        <v>1</v>
      </c>
      <c r="P11" s="71">
        <v>48</v>
      </c>
      <c r="Q11" s="71">
        <v>5</v>
      </c>
      <c r="R11" s="73">
        <v>459</v>
      </c>
      <c r="S11" s="75">
        <v>11</v>
      </c>
      <c r="T11" s="71">
        <v>5</v>
      </c>
      <c r="U11" s="71">
        <v>3</v>
      </c>
      <c r="V11" s="76">
        <v>108</v>
      </c>
      <c r="W11" s="76">
        <v>69</v>
      </c>
      <c r="X11" s="76">
        <v>15</v>
      </c>
      <c r="Y11" s="120">
        <f t="shared" ref="Y11:Y21" si="0">SUM(B11:X11)</f>
        <v>1419</v>
      </c>
    </row>
    <row r="12" spans="1:25" ht="14.4">
      <c r="A12" s="24" t="s">
        <v>48</v>
      </c>
      <c r="B12" s="71">
        <v>0</v>
      </c>
      <c r="C12" s="71">
        <v>0</v>
      </c>
      <c r="D12" s="71">
        <v>0</v>
      </c>
      <c r="E12" s="71">
        <v>10</v>
      </c>
      <c r="F12" s="71">
        <v>8</v>
      </c>
      <c r="G12" s="71">
        <v>3</v>
      </c>
      <c r="H12" s="71">
        <v>302</v>
      </c>
      <c r="I12" s="71">
        <v>77</v>
      </c>
      <c r="J12" s="77">
        <v>6</v>
      </c>
      <c r="K12" s="72">
        <v>151</v>
      </c>
      <c r="L12" s="71">
        <v>13</v>
      </c>
      <c r="M12" s="71">
        <v>59</v>
      </c>
      <c r="N12" s="72">
        <v>7</v>
      </c>
      <c r="O12" s="77">
        <v>1</v>
      </c>
      <c r="P12" s="77">
        <v>32</v>
      </c>
      <c r="Q12" s="71">
        <v>1</v>
      </c>
      <c r="R12" s="73">
        <v>370</v>
      </c>
      <c r="S12" s="78">
        <v>36</v>
      </c>
      <c r="T12" s="71">
        <v>5</v>
      </c>
      <c r="U12" s="71">
        <v>8</v>
      </c>
      <c r="V12" s="79">
        <v>134</v>
      </c>
      <c r="W12" s="79">
        <v>37</v>
      </c>
      <c r="X12" s="79">
        <v>8</v>
      </c>
      <c r="Y12" s="120">
        <f t="shared" si="0"/>
        <v>1268</v>
      </c>
    </row>
    <row r="13" spans="1:25" ht="14.4">
      <c r="A13" s="24" t="s">
        <v>49</v>
      </c>
      <c r="B13" s="71">
        <v>0</v>
      </c>
      <c r="C13" s="71">
        <v>0</v>
      </c>
      <c r="D13" s="71">
        <v>0</v>
      </c>
      <c r="E13" s="71">
        <v>16</v>
      </c>
      <c r="F13" s="71">
        <v>2</v>
      </c>
      <c r="G13" s="71">
        <v>5</v>
      </c>
      <c r="H13" s="71">
        <v>310</v>
      </c>
      <c r="I13" s="71">
        <v>154</v>
      </c>
      <c r="J13" s="77">
        <v>6</v>
      </c>
      <c r="K13" s="72">
        <v>146</v>
      </c>
      <c r="L13" s="71">
        <v>12</v>
      </c>
      <c r="M13" s="71">
        <v>60</v>
      </c>
      <c r="N13" s="72">
        <v>14</v>
      </c>
      <c r="O13" s="80">
        <v>0</v>
      </c>
      <c r="P13" s="80">
        <v>27</v>
      </c>
      <c r="Q13" s="71">
        <v>3</v>
      </c>
      <c r="R13" s="73">
        <v>603</v>
      </c>
      <c r="S13" s="78">
        <v>23</v>
      </c>
      <c r="T13" s="71">
        <v>1</v>
      </c>
      <c r="U13" s="71">
        <v>3</v>
      </c>
      <c r="V13" s="79">
        <v>114</v>
      </c>
      <c r="W13" s="79">
        <v>67</v>
      </c>
      <c r="X13" s="79">
        <v>13</v>
      </c>
      <c r="Y13" s="120">
        <f t="shared" si="0"/>
        <v>1579</v>
      </c>
    </row>
    <row r="14" spans="1:25" ht="14.4">
      <c r="A14" s="24" t="s">
        <v>50</v>
      </c>
      <c r="B14" s="81"/>
      <c r="C14" s="81"/>
      <c r="D14" s="81"/>
      <c r="E14" s="81"/>
      <c r="F14" s="81"/>
      <c r="G14" s="81"/>
      <c r="H14" s="81"/>
      <c r="I14" s="81"/>
      <c r="J14" s="82"/>
      <c r="K14" s="83"/>
      <c r="L14" s="81"/>
      <c r="M14" s="81"/>
      <c r="N14" s="83"/>
      <c r="O14" s="82"/>
      <c r="P14" s="82"/>
      <c r="Q14" s="81"/>
      <c r="R14" s="73"/>
      <c r="S14" s="82"/>
      <c r="T14" s="81"/>
      <c r="U14" s="81"/>
      <c r="V14" s="82"/>
      <c r="W14" s="82"/>
      <c r="X14" s="82"/>
      <c r="Y14" s="120">
        <f t="shared" si="0"/>
        <v>0</v>
      </c>
    </row>
    <row r="15" spans="1:25" ht="14.4">
      <c r="A15" s="24" t="s">
        <v>51</v>
      </c>
      <c r="B15" s="81"/>
      <c r="C15" s="81"/>
      <c r="D15" s="81"/>
      <c r="E15" s="81"/>
      <c r="F15" s="81"/>
      <c r="G15" s="81"/>
      <c r="H15" s="81"/>
      <c r="I15" s="81"/>
      <c r="J15" s="84"/>
      <c r="K15" s="83"/>
      <c r="L15" s="81"/>
      <c r="M15" s="81"/>
      <c r="N15" s="83"/>
      <c r="O15" s="84"/>
      <c r="P15" s="84"/>
      <c r="Q15" s="81"/>
      <c r="R15" s="73"/>
      <c r="S15" s="85"/>
      <c r="T15" s="81"/>
      <c r="U15" s="81"/>
      <c r="V15" s="86"/>
      <c r="W15" s="86"/>
      <c r="X15" s="86"/>
      <c r="Y15" s="120">
        <f t="shared" si="0"/>
        <v>0</v>
      </c>
    </row>
    <row r="16" spans="1:25" ht="15.75" customHeight="1">
      <c r="A16" s="24" t="s">
        <v>52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120">
        <f t="shared" si="0"/>
        <v>0</v>
      </c>
    </row>
    <row r="17" spans="1:25" ht="15.75" customHeight="1">
      <c r="A17" s="24" t="s">
        <v>53</v>
      </c>
      <c r="B17" s="81"/>
      <c r="C17" s="81"/>
      <c r="D17" s="81"/>
      <c r="E17" s="81"/>
      <c r="F17" s="81"/>
      <c r="G17" s="81"/>
      <c r="H17" s="81"/>
      <c r="I17" s="81"/>
      <c r="J17" s="84"/>
      <c r="K17" s="83"/>
      <c r="L17" s="81"/>
      <c r="M17" s="81"/>
      <c r="N17" s="83"/>
      <c r="O17" s="84"/>
      <c r="P17" s="84"/>
      <c r="Q17" s="81"/>
      <c r="R17" s="73"/>
      <c r="S17" s="85"/>
      <c r="T17" s="81"/>
      <c r="U17" s="81"/>
      <c r="V17" s="86"/>
      <c r="W17" s="86"/>
      <c r="X17" s="86"/>
      <c r="Y17" s="120">
        <f t="shared" si="0"/>
        <v>0</v>
      </c>
    </row>
    <row r="18" spans="1:25" ht="27.75" customHeight="1">
      <c r="A18" s="24" t="s">
        <v>54</v>
      </c>
      <c r="B18" s="81"/>
      <c r="C18" s="81"/>
      <c r="D18" s="81"/>
      <c r="E18" s="81"/>
      <c r="F18" s="81"/>
      <c r="G18" s="81"/>
      <c r="H18" s="81"/>
      <c r="I18" s="81"/>
      <c r="J18" s="87"/>
      <c r="K18" s="83"/>
      <c r="L18" s="81"/>
      <c r="M18" s="81"/>
      <c r="N18" s="83"/>
      <c r="O18" s="84"/>
      <c r="P18" s="84"/>
      <c r="Q18" s="81"/>
      <c r="R18" s="73"/>
      <c r="S18" s="85"/>
      <c r="T18" s="81"/>
      <c r="U18" s="81"/>
      <c r="V18" s="86"/>
      <c r="W18" s="86"/>
      <c r="X18" s="86"/>
      <c r="Y18" s="120">
        <f t="shared" si="0"/>
        <v>0</v>
      </c>
    </row>
    <row r="19" spans="1:25" ht="15.75" customHeight="1">
      <c r="A19" s="24" t="s">
        <v>55</v>
      </c>
      <c r="B19" s="71"/>
      <c r="C19" s="71"/>
      <c r="D19" s="71"/>
      <c r="E19" s="71"/>
      <c r="F19" s="71"/>
      <c r="G19" s="71"/>
      <c r="H19" s="71"/>
      <c r="I19" s="71"/>
      <c r="J19" s="88"/>
      <c r="K19" s="72"/>
      <c r="L19" s="71"/>
      <c r="M19" s="71"/>
      <c r="N19" s="72"/>
      <c r="O19" s="77"/>
      <c r="P19" s="77"/>
      <c r="Q19" s="71"/>
      <c r="R19" s="73"/>
      <c r="S19" s="78"/>
      <c r="T19" s="71"/>
      <c r="U19" s="71"/>
      <c r="V19" s="79"/>
      <c r="W19" s="79"/>
      <c r="X19" s="79"/>
      <c r="Y19" s="120">
        <f t="shared" si="0"/>
        <v>0</v>
      </c>
    </row>
    <row r="20" spans="1:25" ht="27.75" customHeight="1">
      <c r="A20" s="24" t="s">
        <v>56</v>
      </c>
      <c r="B20" s="71"/>
      <c r="C20" s="71"/>
      <c r="D20" s="71"/>
      <c r="E20" s="71"/>
      <c r="F20" s="71"/>
      <c r="G20" s="71"/>
      <c r="H20" s="71"/>
      <c r="I20" s="71"/>
      <c r="J20" s="88"/>
      <c r="K20" s="72"/>
      <c r="L20" s="71"/>
      <c r="M20" s="71"/>
      <c r="N20" s="72"/>
      <c r="O20" s="77"/>
      <c r="P20" s="77"/>
      <c r="Q20" s="71"/>
      <c r="R20" s="73"/>
      <c r="S20" s="78"/>
      <c r="T20" s="71"/>
      <c r="U20" s="71"/>
      <c r="V20" s="79"/>
      <c r="W20" s="79"/>
      <c r="X20" s="79"/>
      <c r="Y20" s="120">
        <f t="shared" si="0"/>
        <v>0</v>
      </c>
    </row>
    <row r="21" spans="1:25" ht="15.75" customHeight="1">
      <c r="A21" s="24" t="s">
        <v>57</v>
      </c>
      <c r="B21" s="81"/>
      <c r="C21" s="81"/>
      <c r="D21" s="81"/>
      <c r="E21" s="71"/>
      <c r="F21" s="71"/>
      <c r="G21" s="71"/>
      <c r="H21" s="71"/>
      <c r="I21" s="71"/>
      <c r="J21" s="88"/>
      <c r="K21" s="72"/>
      <c r="L21" s="71"/>
      <c r="M21" s="71"/>
      <c r="N21" s="72"/>
      <c r="O21" s="77"/>
      <c r="P21" s="77"/>
      <c r="Q21" s="71"/>
      <c r="R21" s="73"/>
      <c r="S21" s="78"/>
      <c r="T21" s="71"/>
      <c r="U21" s="71"/>
      <c r="V21" s="79"/>
      <c r="W21" s="79"/>
      <c r="X21" s="79"/>
      <c r="Y21" s="120">
        <f t="shared" si="0"/>
        <v>0</v>
      </c>
    </row>
    <row r="22" spans="1:25" ht="15.75" customHeight="1"/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</sheetData>
  <mergeCells count="24">
    <mergeCell ref="X8:X9"/>
    <mergeCell ref="Y8:Y9"/>
    <mergeCell ref="T8:U8"/>
    <mergeCell ref="V8:V9"/>
    <mergeCell ref="W8:W9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A6:B6"/>
    <mergeCell ref="A7:B7"/>
    <mergeCell ref="C7:F7"/>
    <mergeCell ref="A8:A9"/>
    <mergeCell ref="B8:D8"/>
    <mergeCell ref="E8:G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839"/>
  <sheetViews>
    <sheetView topLeftCell="H6" workbookViewId="0">
      <selection activeCell="Y10" sqref="Y10:Y21"/>
    </sheetView>
  </sheetViews>
  <sheetFormatPr baseColWidth="10" defaultColWidth="14.44140625" defaultRowHeight="15" customHeight="1"/>
  <cols>
    <col min="1" max="1" width="13.5546875" customWidth="1"/>
    <col min="2" max="30" width="11.44140625" customWidth="1"/>
  </cols>
  <sheetData>
    <row r="1" spans="1:25" ht="29.4">
      <c r="A1" s="35" t="s">
        <v>75</v>
      </c>
      <c r="B1" s="35"/>
      <c r="C1" s="35"/>
      <c r="D1" s="35"/>
      <c r="E1" s="35"/>
      <c r="F1" s="35"/>
      <c r="G1" s="167" t="s">
        <v>1</v>
      </c>
      <c r="H1" s="154"/>
      <c r="I1" s="154"/>
      <c r="J1" s="154"/>
      <c r="K1" s="154"/>
      <c r="L1" s="154"/>
      <c r="M1" s="154"/>
      <c r="N1" s="154"/>
      <c r="O1" s="154"/>
      <c r="P1" s="36"/>
      <c r="Q1" s="35"/>
      <c r="R1" s="35"/>
      <c r="S1" s="35"/>
      <c r="T1" s="35"/>
      <c r="U1" s="35"/>
      <c r="V1" s="35"/>
      <c r="W1" s="35"/>
      <c r="X1" s="35"/>
      <c r="Y1" s="35"/>
    </row>
    <row r="2" spans="1:25" ht="14.4">
      <c r="A2" s="35"/>
      <c r="B2" s="35"/>
      <c r="C2" s="35"/>
      <c r="D2" s="35"/>
      <c r="E2" s="155" t="s">
        <v>2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35"/>
      <c r="U2" s="35"/>
      <c r="V2" s="35"/>
      <c r="W2" s="35"/>
      <c r="X2" s="35"/>
      <c r="Y2" s="35"/>
    </row>
    <row r="3" spans="1:25" ht="14.4">
      <c r="A3" s="35"/>
      <c r="B3" s="35"/>
      <c r="C3" s="35"/>
      <c r="D3" s="3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5"/>
      <c r="U3" s="35"/>
      <c r="V3" s="35"/>
      <c r="W3" s="35"/>
      <c r="X3" s="35"/>
      <c r="Y3" s="35"/>
    </row>
    <row r="4" spans="1:25" ht="14.4">
      <c r="A4" s="159" t="s">
        <v>3</v>
      </c>
      <c r="B4" s="131"/>
      <c r="C4" s="157" t="s">
        <v>95</v>
      </c>
      <c r="D4" s="130"/>
      <c r="E4" s="130"/>
      <c r="F4" s="13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5"/>
      <c r="U4" s="35"/>
      <c r="V4" s="35"/>
      <c r="W4" s="35"/>
      <c r="X4" s="35"/>
      <c r="Y4" s="35"/>
    </row>
    <row r="5" spans="1:25" ht="14.4">
      <c r="A5" s="159" t="s">
        <v>89</v>
      </c>
      <c r="B5" s="131"/>
      <c r="C5" s="158">
        <v>5</v>
      </c>
      <c r="D5" s="130"/>
      <c r="E5" s="130"/>
      <c r="F5" s="13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ht="14.4">
      <c r="A6" s="159" t="s">
        <v>9</v>
      </c>
      <c r="B6" s="131"/>
      <c r="C6" s="158">
        <v>2025</v>
      </c>
      <c r="D6" s="130"/>
      <c r="E6" s="130"/>
      <c r="F6" s="131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 ht="14.4">
      <c r="A7" s="135" t="s">
        <v>10</v>
      </c>
      <c r="B7" s="136"/>
      <c r="C7" s="137" t="s">
        <v>11</v>
      </c>
      <c r="D7" s="138"/>
      <c r="E7" s="138"/>
      <c r="F7" s="139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5" ht="25.2">
      <c r="A8" s="140" t="s">
        <v>12</v>
      </c>
      <c r="B8" s="149" t="s">
        <v>13</v>
      </c>
      <c r="C8" s="143"/>
      <c r="D8" s="144"/>
      <c r="E8" s="168" t="s">
        <v>14</v>
      </c>
      <c r="F8" s="143"/>
      <c r="G8" s="143"/>
      <c r="H8" s="142" t="s">
        <v>16</v>
      </c>
      <c r="I8" s="144"/>
      <c r="J8" s="11" t="s">
        <v>17</v>
      </c>
      <c r="K8" s="142" t="s">
        <v>18</v>
      </c>
      <c r="L8" s="143"/>
      <c r="M8" s="143"/>
      <c r="N8" s="144"/>
      <c r="O8" s="145" t="s">
        <v>15</v>
      </c>
      <c r="P8" s="145" t="s">
        <v>21</v>
      </c>
      <c r="Q8" s="142" t="s">
        <v>22</v>
      </c>
      <c r="R8" s="144"/>
      <c r="S8" s="145" t="s">
        <v>23</v>
      </c>
      <c r="T8" s="142" t="s">
        <v>24</v>
      </c>
      <c r="U8" s="144"/>
      <c r="V8" s="145" t="s">
        <v>25</v>
      </c>
      <c r="W8" s="145" t="s">
        <v>8</v>
      </c>
      <c r="X8" s="145" t="s">
        <v>26</v>
      </c>
      <c r="Y8" s="145" t="s">
        <v>27</v>
      </c>
    </row>
    <row r="9" spans="1:25" ht="50.4">
      <c r="A9" s="141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90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46"/>
      <c r="P9" s="146"/>
      <c r="Q9" s="11" t="s">
        <v>91</v>
      </c>
      <c r="R9" s="11" t="s">
        <v>43</v>
      </c>
      <c r="S9" s="146"/>
      <c r="T9" s="11" t="s">
        <v>44</v>
      </c>
      <c r="U9" s="11" t="s">
        <v>45</v>
      </c>
      <c r="V9" s="146"/>
      <c r="W9" s="146"/>
      <c r="X9" s="146"/>
      <c r="Y9" s="146"/>
    </row>
    <row r="10" spans="1:25" ht="14.4">
      <c r="A10" s="20" t="s">
        <v>46</v>
      </c>
      <c r="B10" s="71">
        <v>0</v>
      </c>
      <c r="C10" s="71">
        <v>0</v>
      </c>
      <c r="D10" s="71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2">
        <v>0</v>
      </c>
      <c r="L10" s="71">
        <v>0</v>
      </c>
      <c r="M10" s="71">
        <v>0</v>
      </c>
      <c r="N10" s="72">
        <v>0</v>
      </c>
      <c r="O10" s="71">
        <v>0</v>
      </c>
      <c r="P10" s="71">
        <v>0</v>
      </c>
      <c r="Q10" s="71">
        <v>0</v>
      </c>
      <c r="R10" s="73">
        <v>0</v>
      </c>
      <c r="S10" s="74">
        <v>0</v>
      </c>
      <c r="T10" s="71">
        <v>0</v>
      </c>
      <c r="U10" s="71">
        <v>0</v>
      </c>
      <c r="V10" s="74">
        <v>0</v>
      </c>
      <c r="W10" s="74">
        <v>0</v>
      </c>
      <c r="X10" s="74">
        <v>0</v>
      </c>
      <c r="Y10" s="120">
        <f>SUM(B10:X10)</f>
        <v>0</v>
      </c>
    </row>
    <row r="11" spans="1:25" ht="14.4">
      <c r="A11" s="24" t="s">
        <v>47</v>
      </c>
      <c r="B11" s="71">
        <v>0</v>
      </c>
      <c r="C11" s="71">
        <v>0</v>
      </c>
      <c r="D11" s="71">
        <v>0</v>
      </c>
      <c r="E11" s="71">
        <v>12</v>
      </c>
      <c r="F11" s="71">
        <v>2</v>
      </c>
      <c r="G11" s="71">
        <v>3</v>
      </c>
      <c r="H11" s="71">
        <v>67</v>
      </c>
      <c r="I11" s="71">
        <v>55</v>
      </c>
      <c r="J11" s="75">
        <v>3</v>
      </c>
      <c r="K11" s="72">
        <v>0</v>
      </c>
      <c r="L11" s="71">
        <v>0</v>
      </c>
      <c r="M11" s="71">
        <v>2</v>
      </c>
      <c r="N11" s="72">
        <v>0</v>
      </c>
      <c r="O11" s="71">
        <v>8</v>
      </c>
      <c r="P11" s="71">
        <v>0</v>
      </c>
      <c r="Q11" s="71">
        <v>1</v>
      </c>
      <c r="R11" s="73">
        <v>141</v>
      </c>
      <c r="S11" s="75">
        <v>0</v>
      </c>
      <c r="T11" s="71">
        <v>8</v>
      </c>
      <c r="U11" s="71">
        <v>6</v>
      </c>
      <c r="V11" s="76">
        <v>40</v>
      </c>
      <c r="W11" s="76">
        <v>1</v>
      </c>
      <c r="X11" s="76">
        <v>5</v>
      </c>
      <c r="Y11" s="120">
        <f t="shared" ref="Y11:Y21" si="0">SUM(B11:X11)</f>
        <v>354</v>
      </c>
    </row>
    <row r="12" spans="1:25" ht="14.4">
      <c r="A12" s="24" t="s">
        <v>48</v>
      </c>
      <c r="B12" s="71">
        <v>0</v>
      </c>
      <c r="C12" s="71">
        <v>0</v>
      </c>
      <c r="D12" s="71">
        <v>0</v>
      </c>
      <c r="E12" s="71">
        <v>11</v>
      </c>
      <c r="F12" s="71">
        <v>5</v>
      </c>
      <c r="G12" s="71">
        <v>2</v>
      </c>
      <c r="H12" s="71">
        <v>113</v>
      </c>
      <c r="I12" s="71">
        <v>81</v>
      </c>
      <c r="J12" s="77">
        <v>8</v>
      </c>
      <c r="K12" s="72">
        <v>5</v>
      </c>
      <c r="L12" s="71">
        <v>2</v>
      </c>
      <c r="M12" s="71">
        <v>8</v>
      </c>
      <c r="N12" s="72">
        <v>0</v>
      </c>
      <c r="O12" s="77">
        <v>2</v>
      </c>
      <c r="P12" s="77">
        <v>0</v>
      </c>
      <c r="Q12" s="71">
        <v>0</v>
      </c>
      <c r="R12" s="73">
        <v>260</v>
      </c>
      <c r="S12" s="78">
        <v>0</v>
      </c>
      <c r="T12" s="71">
        <v>11</v>
      </c>
      <c r="U12" s="71">
        <v>7</v>
      </c>
      <c r="V12" s="79">
        <v>70</v>
      </c>
      <c r="W12" s="79">
        <v>0</v>
      </c>
      <c r="X12" s="79">
        <v>0</v>
      </c>
      <c r="Y12" s="120">
        <f t="shared" si="0"/>
        <v>585</v>
      </c>
    </row>
    <row r="13" spans="1:25" ht="14.4">
      <c r="A13" s="24" t="s">
        <v>49</v>
      </c>
      <c r="B13" s="71">
        <v>0</v>
      </c>
      <c r="C13" s="71">
        <v>0</v>
      </c>
      <c r="D13" s="71">
        <v>0</v>
      </c>
      <c r="E13" s="71">
        <v>4</v>
      </c>
      <c r="F13" s="71">
        <v>1</v>
      </c>
      <c r="G13" s="71">
        <v>3</v>
      </c>
      <c r="H13" s="71">
        <v>176</v>
      </c>
      <c r="I13" s="71">
        <v>122</v>
      </c>
      <c r="J13" s="77">
        <v>11</v>
      </c>
      <c r="K13" s="72">
        <v>16</v>
      </c>
      <c r="L13" s="71">
        <v>0</v>
      </c>
      <c r="M13" s="71">
        <v>24</v>
      </c>
      <c r="N13" s="72">
        <v>0</v>
      </c>
      <c r="O13" s="80">
        <v>1</v>
      </c>
      <c r="P13" s="80">
        <v>0</v>
      </c>
      <c r="Q13" s="71">
        <v>3</v>
      </c>
      <c r="R13" s="73">
        <v>300</v>
      </c>
      <c r="S13" s="78">
        <v>0</v>
      </c>
      <c r="T13" s="71">
        <v>2</v>
      </c>
      <c r="U13" s="71">
        <v>12</v>
      </c>
      <c r="V13" s="79">
        <v>90</v>
      </c>
      <c r="W13" s="79">
        <v>0</v>
      </c>
      <c r="X13" s="79">
        <v>10</v>
      </c>
      <c r="Y13" s="120">
        <f t="shared" si="0"/>
        <v>775</v>
      </c>
    </row>
    <row r="14" spans="1:25" ht="14.4">
      <c r="A14" s="24" t="s">
        <v>50</v>
      </c>
      <c r="B14" s="81"/>
      <c r="C14" s="81"/>
      <c r="D14" s="81"/>
      <c r="E14" s="81"/>
      <c r="F14" s="81"/>
      <c r="G14" s="81"/>
      <c r="H14" s="81"/>
      <c r="I14" s="81"/>
      <c r="J14" s="82"/>
      <c r="K14" s="83"/>
      <c r="L14" s="81"/>
      <c r="M14" s="81"/>
      <c r="N14" s="83"/>
      <c r="O14" s="82"/>
      <c r="P14" s="82"/>
      <c r="Q14" s="81"/>
      <c r="R14" s="73"/>
      <c r="S14" s="82"/>
      <c r="T14" s="81"/>
      <c r="U14" s="81"/>
      <c r="V14" s="82"/>
      <c r="W14" s="82"/>
      <c r="X14" s="82"/>
      <c r="Y14" s="120">
        <f t="shared" si="0"/>
        <v>0</v>
      </c>
    </row>
    <row r="15" spans="1:25" ht="14.4">
      <c r="A15" s="24" t="s">
        <v>51</v>
      </c>
      <c r="B15" s="81"/>
      <c r="C15" s="81"/>
      <c r="D15" s="81"/>
      <c r="E15" s="81"/>
      <c r="F15" s="81"/>
      <c r="G15" s="81"/>
      <c r="H15" s="81"/>
      <c r="I15" s="81"/>
      <c r="J15" s="84"/>
      <c r="K15" s="83"/>
      <c r="L15" s="81"/>
      <c r="M15" s="81"/>
      <c r="N15" s="83"/>
      <c r="O15" s="84"/>
      <c r="P15" s="84"/>
      <c r="Q15" s="81"/>
      <c r="R15" s="73"/>
      <c r="S15" s="85"/>
      <c r="T15" s="81"/>
      <c r="U15" s="81"/>
      <c r="V15" s="86"/>
      <c r="W15" s="86"/>
      <c r="X15" s="86"/>
      <c r="Y15" s="120">
        <f t="shared" si="0"/>
        <v>0</v>
      </c>
    </row>
    <row r="16" spans="1:25" ht="15.75" customHeight="1">
      <c r="A16" s="24" t="s">
        <v>52</v>
      </c>
      <c r="B16" s="81"/>
      <c r="C16" s="81"/>
      <c r="D16" s="81"/>
      <c r="E16" s="81"/>
      <c r="F16" s="81"/>
      <c r="G16" s="81"/>
      <c r="H16" s="81"/>
      <c r="I16" s="81"/>
      <c r="J16" s="84"/>
      <c r="K16" s="83"/>
      <c r="L16" s="81"/>
      <c r="M16" s="81"/>
      <c r="N16" s="83"/>
      <c r="O16" s="84"/>
      <c r="P16" s="84"/>
      <c r="Q16" s="81"/>
      <c r="R16" s="73"/>
      <c r="S16" s="85"/>
      <c r="T16" s="81"/>
      <c r="U16" s="81"/>
      <c r="V16" s="86"/>
      <c r="W16" s="86"/>
      <c r="X16" s="86"/>
      <c r="Y16" s="120">
        <f t="shared" si="0"/>
        <v>0</v>
      </c>
    </row>
    <row r="17" spans="1:25" ht="15.75" customHeight="1">
      <c r="A17" s="24" t="s">
        <v>53</v>
      </c>
      <c r="B17" s="81"/>
      <c r="C17" s="81"/>
      <c r="D17" s="81"/>
      <c r="E17" s="81"/>
      <c r="F17" s="81"/>
      <c r="G17" s="81"/>
      <c r="H17" s="81"/>
      <c r="I17" s="81"/>
      <c r="J17" s="84"/>
      <c r="K17" s="83"/>
      <c r="L17" s="81"/>
      <c r="M17" s="81"/>
      <c r="N17" s="83"/>
      <c r="O17" s="84"/>
      <c r="P17" s="84"/>
      <c r="Q17" s="81"/>
      <c r="R17" s="73"/>
      <c r="S17" s="85"/>
      <c r="T17" s="81"/>
      <c r="U17" s="81"/>
      <c r="V17" s="86"/>
      <c r="W17" s="86"/>
      <c r="X17" s="86"/>
      <c r="Y17" s="120">
        <f t="shared" si="0"/>
        <v>0</v>
      </c>
    </row>
    <row r="18" spans="1:25" ht="15.75" customHeight="1">
      <c r="A18" s="24" t="s">
        <v>54</v>
      </c>
      <c r="B18" s="81"/>
      <c r="C18" s="81"/>
      <c r="D18" s="81"/>
      <c r="E18" s="81"/>
      <c r="F18" s="81"/>
      <c r="G18" s="81"/>
      <c r="H18" s="81"/>
      <c r="I18" s="81"/>
      <c r="J18" s="87"/>
      <c r="K18" s="83"/>
      <c r="L18" s="81"/>
      <c r="M18" s="81"/>
      <c r="N18" s="83"/>
      <c r="O18" s="84"/>
      <c r="P18" s="84"/>
      <c r="Q18" s="81"/>
      <c r="R18" s="73"/>
      <c r="S18" s="85"/>
      <c r="T18" s="81"/>
      <c r="U18" s="81"/>
      <c r="V18" s="86"/>
      <c r="W18" s="86"/>
      <c r="X18" s="86"/>
      <c r="Y18" s="120">
        <f t="shared" si="0"/>
        <v>0</v>
      </c>
    </row>
    <row r="19" spans="1:25" ht="15.75" customHeight="1">
      <c r="A19" s="24" t="s">
        <v>55</v>
      </c>
      <c r="B19" s="71"/>
      <c r="C19" s="71"/>
      <c r="D19" s="71"/>
      <c r="E19" s="71"/>
      <c r="F19" s="71"/>
      <c r="G19" s="71"/>
      <c r="H19" s="71"/>
      <c r="I19" s="71"/>
      <c r="J19" s="88"/>
      <c r="K19" s="72"/>
      <c r="L19" s="71"/>
      <c r="M19" s="71"/>
      <c r="N19" s="72"/>
      <c r="O19" s="77"/>
      <c r="P19" s="77"/>
      <c r="Q19" s="71"/>
      <c r="R19" s="73"/>
      <c r="S19" s="78"/>
      <c r="T19" s="71"/>
      <c r="U19" s="71"/>
      <c r="V19" s="79"/>
      <c r="W19" s="79"/>
      <c r="X19" s="79"/>
      <c r="Y19" s="120">
        <f t="shared" si="0"/>
        <v>0</v>
      </c>
    </row>
    <row r="20" spans="1:25" ht="15.75" customHeight="1">
      <c r="A20" s="24" t="s">
        <v>56</v>
      </c>
      <c r="B20" s="71"/>
      <c r="C20" s="71"/>
      <c r="D20" s="71"/>
      <c r="E20" s="71"/>
      <c r="F20" s="71"/>
      <c r="G20" s="71"/>
      <c r="H20" s="71"/>
      <c r="I20" s="71"/>
      <c r="J20" s="88"/>
      <c r="K20" s="72"/>
      <c r="L20" s="71"/>
      <c r="M20" s="71"/>
      <c r="N20" s="72"/>
      <c r="O20" s="77"/>
      <c r="P20" s="77"/>
      <c r="Q20" s="71"/>
      <c r="R20" s="73"/>
      <c r="S20" s="78"/>
      <c r="T20" s="71"/>
      <c r="U20" s="71"/>
      <c r="V20" s="79"/>
      <c r="W20" s="79"/>
      <c r="X20" s="79"/>
      <c r="Y20" s="120">
        <f t="shared" si="0"/>
        <v>0</v>
      </c>
    </row>
    <row r="21" spans="1:25" ht="15.75" customHeight="1">
      <c r="A21" s="24" t="s">
        <v>57</v>
      </c>
      <c r="B21" s="81"/>
      <c r="C21" s="81"/>
      <c r="D21" s="81"/>
      <c r="E21" s="71"/>
      <c r="F21" s="71"/>
      <c r="G21" s="71"/>
      <c r="H21" s="71"/>
      <c r="I21" s="71"/>
      <c r="J21" s="88"/>
      <c r="K21" s="72"/>
      <c r="L21" s="71"/>
      <c r="M21" s="71"/>
      <c r="N21" s="72"/>
      <c r="O21" s="77"/>
      <c r="P21" s="77"/>
      <c r="Q21" s="71"/>
      <c r="R21" s="73"/>
      <c r="S21" s="78"/>
      <c r="T21" s="71"/>
      <c r="U21" s="71"/>
      <c r="V21" s="79"/>
      <c r="W21" s="79"/>
      <c r="X21" s="79"/>
      <c r="Y21" s="120">
        <f t="shared" si="0"/>
        <v>0</v>
      </c>
    </row>
    <row r="22" spans="1:25" ht="15.75" customHeight="1">
      <c r="N22" s="95"/>
    </row>
    <row r="23" spans="1:25" ht="15.75" customHeight="1">
      <c r="N23" s="95"/>
    </row>
    <row r="24" spans="1:25" ht="15.75" customHeight="1">
      <c r="N24" s="95"/>
    </row>
    <row r="25" spans="1:25" ht="15.75" customHeight="1">
      <c r="N25" s="95"/>
    </row>
    <row r="26" spans="1:25" ht="15.75" customHeight="1">
      <c r="N26" s="95"/>
    </row>
    <row r="27" spans="1:25" ht="15.75" customHeight="1">
      <c r="N27" s="95"/>
    </row>
    <row r="28" spans="1:25" ht="15.75" customHeight="1">
      <c r="N28" s="95"/>
    </row>
    <row r="29" spans="1:25" ht="15.75" customHeight="1">
      <c r="N29" s="95"/>
    </row>
    <row r="30" spans="1:25" ht="15.75" customHeight="1">
      <c r="N30" s="95"/>
    </row>
    <row r="31" spans="1:25" ht="15.75" customHeight="1">
      <c r="N31" s="95"/>
    </row>
    <row r="32" spans="1:25" ht="15.75" customHeight="1">
      <c r="N32" s="95"/>
    </row>
    <row r="33" spans="14:14" ht="15.75" customHeight="1">
      <c r="N33" s="95"/>
    </row>
    <row r="34" spans="14:14" ht="15.75" customHeight="1">
      <c r="N34" s="95"/>
    </row>
    <row r="35" spans="14:14" ht="15.75" customHeight="1">
      <c r="N35" s="95"/>
    </row>
    <row r="36" spans="14:14" ht="15.75" customHeight="1">
      <c r="N36" s="95"/>
    </row>
    <row r="37" spans="14:14" ht="15.75" customHeight="1">
      <c r="N37" s="95"/>
    </row>
    <row r="38" spans="14:14" ht="15.75" customHeight="1">
      <c r="N38" s="95"/>
    </row>
    <row r="39" spans="14:14" ht="15.75" customHeight="1">
      <c r="N39" s="95"/>
    </row>
    <row r="40" spans="14:14" ht="15.75" customHeight="1">
      <c r="N40" s="95"/>
    </row>
    <row r="41" spans="14:14" ht="15.75" customHeight="1">
      <c r="N41" s="95"/>
    </row>
    <row r="42" spans="14:14" ht="15.75" customHeight="1">
      <c r="N42" s="95"/>
    </row>
    <row r="43" spans="14:14" ht="15.75" customHeight="1">
      <c r="N43" s="95"/>
    </row>
    <row r="44" spans="14:14" ht="15.75" customHeight="1">
      <c r="N44" s="95"/>
    </row>
    <row r="45" spans="14:14" ht="15.75" customHeight="1">
      <c r="N45" s="95"/>
    </row>
    <row r="46" spans="14:14" ht="15.75" customHeight="1">
      <c r="N46" s="95"/>
    </row>
    <row r="47" spans="14:14" ht="15.75" customHeight="1">
      <c r="N47" s="95"/>
    </row>
    <row r="48" spans="14:14" ht="15.75" customHeight="1">
      <c r="N48" s="95"/>
    </row>
    <row r="49" spans="14:14" ht="15.75" customHeight="1">
      <c r="N49" s="95"/>
    </row>
    <row r="50" spans="14:14" ht="15.75" customHeight="1">
      <c r="N50" s="95"/>
    </row>
    <row r="51" spans="14:14" ht="15.75" customHeight="1">
      <c r="N51" s="95"/>
    </row>
    <row r="52" spans="14:14" ht="15.75" customHeight="1">
      <c r="N52" s="95"/>
    </row>
    <row r="53" spans="14:14" ht="15.75" customHeight="1">
      <c r="N53" s="95"/>
    </row>
    <row r="54" spans="14:14" ht="15.75" customHeight="1">
      <c r="N54" s="95"/>
    </row>
    <row r="55" spans="14:14" ht="15.75" customHeight="1">
      <c r="N55" s="95"/>
    </row>
    <row r="56" spans="14:14" ht="15.75" customHeight="1">
      <c r="N56" s="95"/>
    </row>
    <row r="57" spans="14:14" ht="15.75" customHeight="1">
      <c r="N57" s="95"/>
    </row>
    <row r="58" spans="14:14" ht="15.75" customHeight="1">
      <c r="N58" s="95"/>
    </row>
    <row r="59" spans="14:14" ht="15.75" customHeight="1">
      <c r="N59" s="95"/>
    </row>
    <row r="60" spans="14:14" ht="15.75" customHeight="1">
      <c r="N60" s="95"/>
    </row>
    <row r="61" spans="14:14" ht="15.75" customHeight="1">
      <c r="N61" s="95"/>
    </row>
    <row r="62" spans="14:14" ht="15.75" customHeight="1">
      <c r="N62" s="95"/>
    </row>
    <row r="63" spans="14:14" ht="15.75" customHeight="1">
      <c r="N63" s="95"/>
    </row>
    <row r="64" spans="14:14" ht="15.75" customHeight="1">
      <c r="N64" s="95"/>
    </row>
    <row r="65" spans="14:14" ht="15.75" customHeight="1">
      <c r="N65" s="95"/>
    </row>
    <row r="66" spans="14:14" ht="15.75" customHeight="1">
      <c r="N66" s="95"/>
    </row>
    <row r="67" spans="14:14" ht="15.75" customHeight="1">
      <c r="N67" s="95"/>
    </row>
    <row r="68" spans="14:14" ht="15.75" customHeight="1">
      <c r="N68" s="95"/>
    </row>
    <row r="69" spans="14:14" ht="15.75" customHeight="1">
      <c r="N69" s="95"/>
    </row>
    <row r="70" spans="14:14" ht="15.75" customHeight="1">
      <c r="N70" s="95"/>
    </row>
    <row r="71" spans="14:14" ht="15.75" customHeight="1">
      <c r="N71" s="95"/>
    </row>
    <row r="72" spans="14:14" ht="15.75" customHeight="1">
      <c r="N72" s="95"/>
    </row>
    <row r="73" spans="14:14" ht="15.75" customHeight="1">
      <c r="N73" s="95"/>
    </row>
    <row r="74" spans="14:14" ht="15.75" customHeight="1">
      <c r="N74" s="95"/>
    </row>
    <row r="75" spans="14:14" ht="15.75" customHeight="1">
      <c r="N75" s="95"/>
    </row>
    <row r="76" spans="14:14" ht="15.75" customHeight="1">
      <c r="N76" s="95"/>
    </row>
    <row r="77" spans="14:14" ht="15.75" customHeight="1">
      <c r="N77" s="95"/>
    </row>
    <row r="78" spans="14:14" ht="15.75" customHeight="1">
      <c r="N78" s="95"/>
    </row>
    <row r="79" spans="14:14" ht="15.75" customHeight="1">
      <c r="N79" s="95"/>
    </row>
    <row r="80" spans="14:14" ht="15.75" customHeight="1">
      <c r="N80" s="95"/>
    </row>
    <row r="81" spans="14:14" ht="15.75" customHeight="1">
      <c r="N81" s="95"/>
    </row>
    <row r="82" spans="14:14" ht="15.75" customHeight="1">
      <c r="N82" s="95"/>
    </row>
    <row r="83" spans="14:14" ht="15.75" customHeight="1">
      <c r="N83" s="95"/>
    </row>
    <row r="84" spans="14:14" ht="15.75" customHeight="1">
      <c r="N84" s="95"/>
    </row>
    <row r="85" spans="14:14" ht="15.75" customHeight="1">
      <c r="N85" s="95"/>
    </row>
    <row r="86" spans="14:14" ht="15.75" customHeight="1">
      <c r="N86" s="95"/>
    </row>
    <row r="87" spans="14:14" ht="15.75" customHeight="1">
      <c r="N87" s="95"/>
    </row>
    <row r="88" spans="14:14" ht="15.75" customHeight="1">
      <c r="N88" s="95"/>
    </row>
    <row r="89" spans="14:14" ht="15.75" customHeight="1">
      <c r="N89" s="95"/>
    </row>
    <row r="90" spans="14:14" ht="15.75" customHeight="1">
      <c r="N90" s="95"/>
    </row>
    <row r="91" spans="14:14" ht="15.75" customHeight="1">
      <c r="N91" s="95"/>
    </row>
    <row r="92" spans="14:14" ht="15.75" customHeight="1">
      <c r="N92" s="95"/>
    </row>
    <row r="93" spans="14:14" ht="15.75" customHeight="1">
      <c r="N93" s="95"/>
    </row>
    <row r="94" spans="14:14" ht="15.75" customHeight="1">
      <c r="N94" s="95"/>
    </row>
    <row r="95" spans="14:14" ht="15.75" customHeight="1">
      <c r="N95" s="95"/>
    </row>
    <row r="96" spans="14:14" ht="15.75" customHeight="1">
      <c r="N96" s="95"/>
    </row>
    <row r="97" spans="14:14" ht="15.75" customHeight="1">
      <c r="N97" s="95"/>
    </row>
    <row r="98" spans="14:14" ht="15.75" customHeight="1">
      <c r="N98" s="95"/>
    </row>
    <row r="99" spans="14:14" ht="15.75" customHeight="1">
      <c r="N99" s="95"/>
    </row>
    <row r="100" spans="14:14" ht="15.75" customHeight="1">
      <c r="N100" s="95"/>
    </row>
    <row r="101" spans="14:14" ht="15.75" customHeight="1">
      <c r="N101" s="95"/>
    </row>
    <row r="102" spans="14:14" ht="15.75" customHeight="1">
      <c r="N102" s="95"/>
    </row>
    <row r="103" spans="14:14" ht="15.75" customHeight="1">
      <c r="N103" s="95"/>
    </row>
    <row r="104" spans="14:14" ht="15.75" customHeight="1">
      <c r="N104" s="95"/>
    </row>
    <row r="105" spans="14:14" ht="15.75" customHeight="1">
      <c r="N105" s="95"/>
    </row>
    <row r="106" spans="14:14" ht="15.75" customHeight="1">
      <c r="N106" s="95"/>
    </row>
    <row r="107" spans="14:14" ht="15.75" customHeight="1">
      <c r="N107" s="95"/>
    </row>
    <row r="108" spans="14:14" ht="15.75" customHeight="1">
      <c r="N108" s="95"/>
    </row>
    <row r="109" spans="14:14" ht="15.75" customHeight="1">
      <c r="N109" s="95"/>
    </row>
    <row r="110" spans="14:14" ht="15.75" customHeight="1">
      <c r="N110" s="95"/>
    </row>
    <row r="111" spans="14:14" ht="15.75" customHeight="1">
      <c r="N111" s="95"/>
    </row>
    <row r="112" spans="14:14" ht="15.75" customHeight="1">
      <c r="N112" s="95"/>
    </row>
    <row r="113" spans="14:14" ht="15.75" customHeight="1">
      <c r="N113" s="95"/>
    </row>
    <row r="114" spans="14:14" ht="15.75" customHeight="1">
      <c r="N114" s="95"/>
    </row>
    <row r="115" spans="14:14" ht="15.75" customHeight="1">
      <c r="N115" s="95"/>
    </row>
    <row r="116" spans="14:14" ht="15.75" customHeight="1">
      <c r="N116" s="95"/>
    </row>
    <row r="117" spans="14:14" ht="15.75" customHeight="1">
      <c r="N117" s="95"/>
    </row>
    <row r="118" spans="14:14" ht="15.75" customHeight="1">
      <c r="N118" s="95"/>
    </row>
    <row r="119" spans="14:14" ht="15.75" customHeight="1">
      <c r="N119" s="95"/>
    </row>
    <row r="120" spans="14:14" ht="15.75" customHeight="1">
      <c r="N120" s="95"/>
    </row>
    <row r="121" spans="14:14" ht="15.75" customHeight="1">
      <c r="N121" s="95"/>
    </row>
    <row r="122" spans="14:14" ht="15.75" customHeight="1">
      <c r="N122" s="95"/>
    </row>
    <row r="123" spans="14:14" ht="15.75" customHeight="1">
      <c r="N123" s="95"/>
    </row>
    <row r="124" spans="14:14" ht="15.75" customHeight="1">
      <c r="N124" s="95"/>
    </row>
    <row r="125" spans="14:14" ht="15.75" customHeight="1">
      <c r="N125" s="95"/>
    </row>
    <row r="126" spans="14:14" ht="15.75" customHeight="1">
      <c r="N126" s="95"/>
    </row>
    <row r="127" spans="14:14" ht="15.75" customHeight="1">
      <c r="N127" s="95"/>
    </row>
    <row r="128" spans="14:14" ht="15.75" customHeight="1">
      <c r="N128" s="95"/>
    </row>
    <row r="129" spans="14:14" ht="15.75" customHeight="1">
      <c r="N129" s="95"/>
    </row>
    <row r="130" spans="14:14" ht="15.75" customHeight="1">
      <c r="N130" s="95"/>
    </row>
    <row r="131" spans="14:14" ht="15.75" customHeight="1">
      <c r="N131" s="95"/>
    </row>
    <row r="132" spans="14:14" ht="15.75" customHeight="1">
      <c r="N132" s="95"/>
    </row>
    <row r="133" spans="14:14" ht="15.75" customHeight="1">
      <c r="N133" s="95"/>
    </row>
    <row r="134" spans="14:14" ht="15.75" customHeight="1">
      <c r="N134" s="95"/>
    </row>
    <row r="135" spans="14:14" ht="15.75" customHeight="1">
      <c r="N135" s="95"/>
    </row>
    <row r="136" spans="14:14" ht="15.75" customHeight="1">
      <c r="N136" s="95"/>
    </row>
    <row r="137" spans="14:14" ht="15.75" customHeight="1">
      <c r="N137" s="95"/>
    </row>
    <row r="138" spans="14:14" ht="15.75" customHeight="1">
      <c r="N138" s="95"/>
    </row>
    <row r="139" spans="14:14" ht="15.75" customHeight="1">
      <c r="N139" s="95"/>
    </row>
    <row r="140" spans="14:14" ht="15.75" customHeight="1">
      <c r="N140" s="95"/>
    </row>
    <row r="141" spans="14:14" ht="15.75" customHeight="1">
      <c r="N141" s="95"/>
    </row>
    <row r="142" spans="14:14" ht="15.75" customHeight="1">
      <c r="N142" s="95"/>
    </row>
    <row r="143" spans="14:14" ht="15.75" customHeight="1">
      <c r="N143" s="95"/>
    </row>
    <row r="144" spans="14:14" ht="15.75" customHeight="1">
      <c r="N144" s="95"/>
    </row>
    <row r="145" spans="14:14" ht="15.75" customHeight="1">
      <c r="N145" s="95"/>
    </row>
    <row r="146" spans="14:14" ht="15.75" customHeight="1">
      <c r="N146" s="95"/>
    </row>
    <row r="147" spans="14:14" ht="15.75" customHeight="1">
      <c r="N147" s="95"/>
    </row>
    <row r="148" spans="14:14" ht="15.75" customHeight="1">
      <c r="N148" s="95"/>
    </row>
    <row r="149" spans="14:14" ht="15.75" customHeight="1">
      <c r="N149" s="95"/>
    </row>
    <row r="150" spans="14:14" ht="15.75" customHeight="1">
      <c r="N150" s="95"/>
    </row>
    <row r="151" spans="14:14" ht="15.75" customHeight="1">
      <c r="N151" s="95"/>
    </row>
    <row r="152" spans="14:14" ht="15.75" customHeight="1">
      <c r="N152" s="95"/>
    </row>
    <row r="153" spans="14:14" ht="15.75" customHeight="1">
      <c r="N153" s="95"/>
    </row>
    <row r="154" spans="14:14" ht="15.75" customHeight="1">
      <c r="N154" s="95"/>
    </row>
    <row r="155" spans="14:14" ht="15.75" customHeight="1">
      <c r="N155" s="95"/>
    </row>
    <row r="156" spans="14:14" ht="15.75" customHeight="1">
      <c r="N156" s="95"/>
    </row>
    <row r="157" spans="14:14" ht="15.75" customHeight="1">
      <c r="N157" s="95"/>
    </row>
    <row r="158" spans="14:14" ht="15.75" customHeight="1">
      <c r="N158" s="95"/>
    </row>
    <row r="159" spans="14:14" ht="15.75" customHeight="1">
      <c r="N159" s="95"/>
    </row>
    <row r="160" spans="14:14" ht="15.75" customHeight="1">
      <c r="N160" s="95"/>
    </row>
    <row r="161" spans="14:14" ht="15.75" customHeight="1">
      <c r="N161" s="95"/>
    </row>
    <row r="162" spans="14:14" ht="15.75" customHeight="1">
      <c r="N162" s="95"/>
    </row>
    <row r="163" spans="14:14" ht="15.75" customHeight="1">
      <c r="N163" s="95"/>
    </row>
    <row r="164" spans="14:14" ht="15.75" customHeight="1">
      <c r="N164" s="95"/>
    </row>
    <row r="165" spans="14:14" ht="15.75" customHeight="1">
      <c r="N165" s="95"/>
    </row>
    <row r="166" spans="14:14" ht="15.75" customHeight="1">
      <c r="N166" s="95"/>
    </row>
    <row r="167" spans="14:14" ht="15.75" customHeight="1">
      <c r="N167" s="95"/>
    </row>
    <row r="168" spans="14:14" ht="15.75" customHeight="1">
      <c r="N168" s="95"/>
    </row>
    <row r="169" spans="14:14" ht="15.75" customHeight="1">
      <c r="N169" s="95"/>
    </row>
    <row r="170" spans="14:14" ht="15.75" customHeight="1">
      <c r="N170" s="95"/>
    </row>
    <row r="171" spans="14:14" ht="15.75" customHeight="1">
      <c r="N171" s="95"/>
    </row>
    <row r="172" spans="14:14" ht="15.75" customHeight="1">
      <c r="N172" s="95"/>
    </row>
    <row r="173" spans="14:14" ht="15.75" customHeight="1">
      <c r="N173" s="95"/>
    </row>
    <row r="174" spans="14:14" ht="15.75" customHeight="1">
      <c r="N174" s="95"/>
    </row>
    <row r="175" spans="14:14" ht="15.75" customHeight="1">
      <c r="N175" s="95"/>
    </row>
    <row r="176" spans="14:14" ht="15.75" customHeight="1">
      <c r="N176" s="95"/>
    </row>
    <row r="177" spans="14:14" ht="15.75" customHeight="1">
      <c r="N177" s="95"/>
    </row>
    <row r="178" spans="14:14" ht="15.75" customHeight="1">
      <c r="N178" s="95"/>
    </row>
    <row r="179" spans="14:14" ht="15.75" customHeight="1">
      <c r="N179" s="95"/>
    </row>
    <row r="180" spans="14:14" ht="15.75" customHeight="1">
      <c r="N180" s="95"/>
    </row>
    <row r="181" spans="14:14" ht="15.75" customHeight="1">
      <c r="N181" s="95"/>
    </row>
    <row r="182" spans="14:14" ht="15.75" customHeight="1">
      <c r="N182" s="95"/>
    </row>
    <row r="183" spans="14:14" ht="15.75" customHeight="1">
      <c r="N183" s="95"/>
    </row>
    <row r="184" spans="14:14" ht="15.75" customHeight="1">
      <c r="N184" s="95"/>
    </row>
    <row r="185" spans="14:14" ht="15.75" customHeight="1">
      <c r="N185" s="95"/>
    </row>
    <row r="186" spans="14:14" ht="15.75" customHeight="1">
      <c r="N186" s="95"/>
    </row>
    <row r="187" spans="14:14" ht="15.75" customHeight="1">
      <c r="N187" s="95"/>
    </row>
    <row r="188" spans="14:14" ht="15.75" customHeight="1">
      <c r="N188" s="95"/>
    </row>
    <row r="189" spans="14:14" ht="15.75" customHeight="1">
      <c r="N189" s="95"/>
    </row>
    <row r="190" spans="14:14" ht="15.75" customHeight="1">
      <c r="N190" s="95"/>
    </row>
    <row r="191" spans="14:14" ht="15.75" customHeight="1">
      <c r="N191" s="95"/>
    </row>
    <row r="192" spans="14:14" ht="15.75" customHeight="1">
      <c r="N192" s="95"/>
    </row>
    <row r="193" spans="14:14" ht="15.75" customHeight="1">
      <c r="N193" s="95"/>
    </row>
    <row r="194" spans="14:14" ht="15.75" customHeight="1">
      <c r="N194" s="95"/>
    </row>
    <row r="195" spans="14:14" ht="15.75" customHeight="1">
      <c r="N195" s="95"/>
    </row>
    <row r="196" spans="14:14" ht="15.75" customHeight="1">
      <c r="N196" s="95"/>
    </row>
    <row r="197" spans="14:14" ht="15.75" customHeight="1">
      <c r="N197" s="95"/>
    </row>
    <row r="198" spans="14:14" ht="15.75" customHeight="1">
      <c r="N198" s="95"/>
    </row>
    <row r="199" spans="14:14" ht="15.75" customHeight="1">
      <c r="N199" s="95"/>
    </row>
    <row r="200" spans="14:14" ht="15.75" customHeight="1">
      <c r="N200" s="95"/>
    </row>
    <row r="201" spans="14:14" ht="15.75" customHeight="1">
      <c r="N201" s="95"/>
    </row>
    <row r="202" spans="14:14" ht="15.75" customHeight="1">
      <c r="N202" s="95"/>
    </row>
    <row r="203" spans="14:14" ht="15.75" customHeight="1">
      <c r="N203" s="95"/>
    </row>
    <row r="204" spans="14:14" ht="15.75" customHeight="1">
      <c r="N204" s="95"/>
    </row>
    <row r="205" spans="14:14" ht="15.75" customHeight="1">
      <c r="N205" s="95"/>
    </row>
    <row r="206" spans="14:14" ht="15.75" customHeight="1">
      <c r="N206" s="95"/>
    </row>
    <row r="207" spans="14:14" ht="15.75" customHeight="1">
      <c r="N207" s="95"/>
    </row>
    <row r="208" spans="14:14" ht="15.75" customHeight="1">
      <c r="N208" s="95"/>
    </row>
    <row r="209" spans="14:14" ht="15.75" customHeight="1">
      <c r="N209" s="95"/>
    </row>
    <row r="210" spans="14:14" ht="15.75" customHeight="1">
      <c r="N210" s="95"/>
    </row>
    <row r="211" spans="14:14" ht="15.75" customHeight="1">
      <c r="N211" s="95"/>
    </row>
    <row r="212" spans="14:14" ht="15.75" customHeight="1">
      <c r="N212" s="95"/>
    </row>
    <row r="213" spans="14:14" ht="15.75" customHeight="1">
      <c r="N213" s="95"/>
    </row>
    <row r="214" spans="14:14" ht="15.75" customHeight="1">
      <c r="N214" s="95"/>
    </row>
    <row r="215" spans="14:14" ht="15.75" customHeight="1">
      <c r="N215" s="95"/>
    </row>
    <row r="216" spans="14:14" ht="15.75" customHeight="1">
      <c r="N216" s="95"/>
    </row>
    <row r="217" spans="14:14" ht="15.75" customHeight="1">
      <c r="N217" s="95"/>
    </row>
    <row r="218" spans="14:14" ht="15.75" customHeight="1">
      <c r="N218" s="95"/>
    </row>
    <row r="219" spans="14:14" ht="15.75" customHeight="1">
      <c r="N219" s="95"/>
    </row>
    <row r="220" spans="14:14" ht="15.75" customHeight="1">
      <c r="N220" s="95"/>
    </row>
    <row r="221" spans="14:14" ht="15.75" customHeight="1">
      <c r="N221" s="95"/>
    </row>
    <row r="222" spans="14:14" ht="15.75" customHeight="1">
      <c r="N222" s="95"/>
    </row>
    <row r="223" spans="14:14" ht="15.75" customHeight="1">
      <c r="N223" s="95"/>
    </row>
    <row r="224" spans="14:14" ht="15.75" customHeight="1">
      <c r="N224" s="95"/>
    </row>
    <row r="225" spans="14:14" ht="15.75" customHeight="1">
      <c r="N225" s="95"/>
    </row>
    <row r="226" spans="14:14" ht="15.75" customHeight="1">
      <c r="N226" s="95"/>
    </row>
    <row r="227" spans="14:14" ht="15.75" customHeight="1">
      <c r="N227" s="95"/>
    </row>
    <row r="228" spans="14:14" ht="15.75" customHeight="1">
      <c r="N228" s="95"/>
    </row>
    <row r="229" spans="14:14" ht="15.75" customHeight="1">
      <c r="N229" s="95"/>
    </row>
    <row r="230" spans="14:14" ht="15.75" customHeight="1">
      <c r="N230" s="95"/>
    </row>
    <row r="231" spans="14:14" ht="15.75" customHeight="1">
      <c r="N231" s="95"/>
    </row>
    <row r="232" spans="14:14" ht="15.75" customHeight="1">
      <c r="N232" s="95"/>
    </row>
    <row r="233" spans="14:14" ht="15.75" customHeight="1">
      <c r="N233" s="95"/>
    </row>
    <row r="234" spans="14:14" ht="15.75" customHeight="1">
      <c r="N234" s="95"/>
    </row>
    <row r="235" spans="14:14" ht="15.75" customHeight="1">
      <c r="N235" s="95"/>
    </row>
    <row r="236" spans="14:14" ht="15.75" customHeight="1">
      <c r="N236" s="95"/>
    </row>
    <row r="237" spans="14:14" ht="15.75" customHeight="1">
      <c r="N237" s="95"/>
    </row>
    <row r="238" spans="14:14" ht="15.75" customHeight="1">
      <c r="N238" s="95"/>
    </row>
    <row r="239" spans="14:14" ht="15.75" customHeight="1">
      <c r="N239" s="95"/>
    </row>
    <row r="240" spans="14:14" ht="15.75" customHeight="1">
      <c r="N240" s="95"/>
    </row>
    <row r="241" spans="14:14" ht="15.75" customHeight="1">
      <c r="N241" s="95"/>
    </row>
    <row r="242" spans="14:14" ht="15.75" customHeight="1">
      <c r="N242" s="95"/>
    </row>
    <row r="243" spans="14:14" ht="15.75" customHeight="1">
      <c r="N243" s="95"/>
    </row>
    <row r="244" spans="14:14" ht="15.75" customHeight="1">
      <c r="N244" s="95"/>
    </row>
    <row r="245" spans="14:14" ht="15.75" customHeight="1">
      <c r="N245" s="95"/>
    </row>
    <row r="246" spans="14:14" ht="15.75" customHeight="1">
      <c r="N246" s="95"/>
    </row>
    <row r="247" spans="14:14" ht="15.75" customHeight="1">
      <c r="N247" s="95"/>
    </row>
    <row r="248" spans="14:14" ht="15.75" customHeight="1">
      <c r="N248" s="95"/>
    </row>
    <row r="249" spans="14:14" ht="15.75" customHeight="1">
      <c r="N249" s="95"/>
    </row>
    <row r="250" spans="14:14" ht="15.75" customHeight="1">
      <c r="N250" s="95"/>
    </row>
    <row r="251" spans="14:14" ht="15.75" customHeight="1">
      <c r="N251" s="95"/>
    </row>
    <row r="252" spans="14:14" ht="15.75" customHeight="1">
      <c r="N252" s="95"/>
    </row>
    <row r="253" spans="14:14" ht="15.75" customHeight="1">
      <c r="N253" s="95"/>
    </row>
    <row r="254" spans="14:14" ht="15.75" customHeight="1">
      <c r="N254" s="95"/>
    </row>
    <row r="255" spans="14:14" ht="15.75" customHeight="1">
      <c r="N255" s="95"/>
    </row>
    <row r="256" spans="14:14" ht="15.75" customHeight="1">
      <c r="N256" s="95"/>
    </row>
    <row r="257" spans="14:14" ht="15.75" customHeight="1">
      <c r="N257" s="95"/>
    </row>
    <row r="258" spans="14:14" ht="15.75" customHeight="1">
      <c r="N258" s="95"/>
    </row>
    <row r="259" spans="14:14" ht="15.75" customHeight="1">
      <c r="N259" s="95"/>
    </row>
    <row r="260" spans="14:14" ht="15.75" customHeight="1">
      <c r="N260" s="95"/>
    </row>
    <row r="261" spans="14:14" ht="15.75" customHeight="1">
      <c r="N261" s="95"/>
    </row>
    <row r="262" spans="14:14" ht="15.75" customHeight="1">
      <c r="N262" s="95"/>
    </row>
    <row r="263" spans="14:14" ht="15.75" customHeight="1">
      <c r="N263" s="95"/>
    </row>
    <row r="264" spans="14:14" ht="15.75" customHeight="1">
      <c r="N264" s="95"/>
    </row>
    <row r="265" spans="14:14" ht="15.75" customHeight="1">
      <c r="N265" s="95"/>
    </row>
    <row r="266" spans="14:14" ht="15.75" customHeight="1">
      <c r="N266" s="95"/>
    </row>
    <row r="267" spans="14:14" ht="15.75" customHeight="1">
      <c r="N267" s="95"/>
    </row>
    <row r="268" spans="14:14" ht="15.75" customHeight="1">
      <c r="N268" s="95"/>
    </row>
    <row r="269" spans="14:14" ht="15.75" customHeight="1">
      <c r="N269" s="95"/>
    </row>
    <row r="270" spans="14:14" ht="15.75" customHeight="1">
      <c r="N270" s="95"/>
    </row>
    <row r="271" spans="14:14" ht="15.75" customHeight="1">
      <c r="N271" s="95"/>
    </row>
    <row r="272" spans="14:14" ht="15.75" customHeight="1">
      <c r="N272" s="95"/>
    </row>
    <row r="273" spans="14:14" ht="15.75" customHeight="1">
      <c r="N273" s="95"/>
    </row>
    <row r="274" spans="14:14" ht="15.75" customHeight="1">
      <c r="N274" s="95"/>
    </row>
    <row r="275" spans="14:14" ht="15.75" customHeight="1">
      <c r="N275" s="95"/>
    </row>
    <row r="276" spans="14:14" ht="15.75" customHeight="1">
      <c r="N276" s="95"/>
    </row>
    <row r="277" spans="14:14" ht="15.75" customHeight="1">
      <c r="N277" s="95"/>
    </row>
    <row r="278" spans="14:14" ht="15.75" customHeight="1">
      <c r="N278" s="95"/>
    </row>
    <row r="279" spans="14:14" ht="15.75" customHeight="1">
      <c r="N279" s="95"/>
    </row>
    <row r="280" spans="14:14" ht="15.75" customHeight="1">
      <c r="N280" s="95"/>
    </row>
    <row r="281" spans="14:14" ht="15.75" customHeight="1">
      <c r="N281" s="95"/>
    </row>
    <row r="282" spans="14:14" ht="15.75" customHeight="1">
      <c r="N282" s="95"/>
    </row>
    <row r="283" spans="14:14" ht="15.75" customHeight="1">
      <c r="N283" s="95"/>
    </row>
    <row r="284" spans="14:14" ht="15.75" customHeight="1">
      <c r="N284" s="95"/>
    </row>
    <row r="285" spans="14:14" ht="15.75" customHeight="1">
      <c r="N285" s="95"/>
    </row>
    <row r="286" spans="14:14" ht="15.75" customHeight="1">
      <c r="N286" s="95"/>
    </row>
    <row r="287" spans="14:14" ht="15.75" customHeight="1">
      <c r="N287" s="95"/>
    </row>
    <row r="288" spans="14:14" ht="15.75" customHeight="1">
      <c r="N288" s="95"/>
    </row>
    <row r="289" spans="14:14" ht="15.75" customHeight="1">
      <c r="N289" s="95"/>
    </row>
    <row r="290" spans="14:14" ht="15.75" customHeight="1">
      <c r="N290" s="95"/>
    </row>
    <row r="291" spans="14:14" ht="15.75" customHeight="1">
      <c r="N291" s="95"/>
    </row>
    <row r="292" spans="14:14" ht="15.75" customHeight="1">
      <c r="N292" s="95"/>
    </row>
    <row r="293" spans="14:14" ht="15.75" customHeight="1">
      <c r="N293" s="95"/>
    </row>
    <row r="294" spans="14:14" ht="15.75" customHeight="1">
      <c r="N294" s="95"/>
    </row>
    <row r="295" spans="14:14" ht="15.75" customHeight="1">
      <c r="N295" s="95"/>
    </row>
    <row r="296" spans="14:14" ht="15.75" customHeight="1">
      <c r="N296" s="95"/>
    </row>
    <row r="297" spans="14:14" ht="15.75" customHeight="1">
      <c r="N297" s="95"/>
    </row>
    <row r="298" spans="14:14" ht="15.75" customHeight="1">
      <c r="N298" s="95"/>
    </row>
    <row r="299" spans="14:14" ht="15.75" customHeight="1">
      <c r="N299" s="95"/>
    </row>
    <row r="300" spans="14:14" ht="15.75" customHeight="1">
      <c r="N300" s="95"/>
    </row>
    <row r="301" spans="14:14" ht="15.75" customHeight="1">
      <c r="N301" s="95"/>
    </row>
    <row r="302" spans="14:14" ht="15.75" customHeight="1">
      <c r="N302" s="95"/>
    </row>
    <row r="303" spans="14:14" ht="15.75" customHeight="1">
      <c r="N303" s="95"/>
    </row>
    <row r="304" spans="14:14" ht="15.75" customHeight="1">
      <c r="N304" s="95"/>
    </row>
    <row r="305" spans="14:14" ht="15.75" customHeight="1">
      <c r="N305" s="95"/>
    </row>
    <row r="306" spans="14:14" ht="15.75" customHeight="1">
      <c r="N306" s="95"/>
    </row>
    <row r="307" spans="14:14" ht="15.75" customHeight="1">
      <c r="N307" s="95"/>
    </row>
    <row r="308" spans="14:14" ht="15.75" customHeight="1">
      <c r="N308" s="95"/>
    </row>
    <row r="309" spans="14:14" ht="15.75" customHeight="1">
      <c r="N309" s="95"/>
    </row>
    <row r="310" spans="14:14" ht="15.75" customHeight="1">
      <c r="N310" s="95"/>
    </row>
    <row r="311" spans="14:14" ht="15.75" customHeight="1">
      <c r="N311" s="95"/>
    </row>
    <row r="312" spans="14:14" ht="15.75" customHeight="1">
      <c r="N312" s="95"/>
    </row>
    <row r="313" spans="14:14" ht="15.75" customHeight="1">
      <c r="N313" s="95"/>
    </row>
    <row r="314" spans="14:14" ht="15.75" customHeight="1">
      <c r="N314" s="95"/>
    </row>
    <row r="315" spans="14:14" ht="15.75" customHeight="1">
      <c r="N315" s="95"/>
    </row>
    <row r="316" spans="14:14" ht="15.75" customHeight="1">
      <c r="N316" s="95"/>
    </row>
    <row r="317" spans="14:14" ht="15.75" customHeight="1">
      <c r="N317" s="95"/>
    </row>
    <row r="318" spans="14:14" ht="15.75" customHeight="1">
      <c r="N318" s="95"/>
    </row>
    <row r="319" spans="14:14" ht="15.75" customHeight="1">
      <c r="N319" s="95"/>
    </row>
    <row r="320" spans="14:14" ht="15.75" customHeight="1">
      <c r="N320" s="95"/>
    </row>
    <row r="321" spans="14:14" ht="15.75" customHeight="1">
      <c r="N321" s="95"/>
    </row>
    <row r="322" spans="14:14" ht="15.75" customHeight="1">
      <c r="N322" s="95"/>
    </row>
    <row r="323" spans="14:14" ht="15.75" customHeight="1">
      <c r="N323" s="95"/>
    </row>
    <row r="324" spans="14:14" ht="15.75" customHeight="1">
      <c r="N324" s="95"/>
    </row>
    <row r="325" spans="14:14" ht="15.75" customHeight="1">
      <c r="N325" s="95"/>
    </row>
    <row r="326" spans="14:14" ht="15.75" customHeight="1">
      <c r="N326" s="95"/>
    </row>
    <row r="327" spans="14:14" ht="15.75" customHeight="1">
      <c r="N327" s="95"/>
    </row>
    <row r="328" spans="14:14" ht="15.75" customHeight="1">
      <c r="N328" s="95"/>
    </row>
    <row r="329" spans="14:14" ht="15.75" customHeight="1">
      <c r="N329" s="95"/>
    </row>
    <row r="330" spans="14:14" ht="15.75" customHeight="1">
      <c r="N330" s="95"/>
    </row>
    <row r="331" spans="14:14" ht="15.75" customHeight="1">
      <c r="N331" s="95"/>
    </row>
    <row r="332" spans="14:14" ht="15.75" customHeight="1">
      <c r="N332" s="95"/>
    </row>
    <row r="333" spans="14:14" ht="15.75" customHeight="1">
      <c r="N333" s="95"/>
    </row>
    <row r="334" spans="14:14" ht="15.75" customHeight="1">
      <c r="N334" s="95"/>
    </row>
    <row r="335" spans="14:14" ht="15.75" customHeight="1">
      <c r="N335" s="95"/>
    </row>
    <row r="336" spans="14:14" ht="15.75" customHeight="1">
      <c r="N336" s="95"/>
    </row>
    <row r="337" spans="14:14" ht="15.75" customHeight="1">
      <c r="N337" s="95"/>
    </row>
    <row r="338" spans="14:14" ht="15.75" customHeight="1">
      <c r="N338" s="95"/>
    </row>
    <row r="339" spans="14:14" ht="15.75" customHeight="1">
      <c r="N339" s="95"/>
    </row>
    <row r="340" spans="14:14" ht="15.75" customHeight="1">
      <c r="N340" s="95"/>
    </row>
    <row r="341" spans="14:14" ht="15.75" customHeight="1">
      <c r="N341" s="95"/>
    </row>
    <row r="342" spans="14:14" ht="15.75" customHeight="1">
      <c r="N342" s="95"/>
    </row>
    <row r="343" spans="14:14" ht="15.75" customHeight="1">
      <c r="N343" s="95"/>
    </row>
    <row r="344" spans="14:14" ht="15.75" customHeight="1">
      <c r="N344" s="95"/>
    </row>
    <row r="345" spans="14:14" ht="15.75" customHeight="1">
      <c r="N345" s="95"/>
    </row>
    <row r="346" spans="14:14" ht="15.75" customHeight="1">
      <c r="N346" s="95"/>
    </row>
    <row r="347" spans="14:14" ht="15.75" customHeight="1">
      <c r="N347" s="95"/>
    </row>
    <row r="348" spans="14:14" ht="15.75" customHeight="1">
      <c r="N348" s="95"/>
    </row>
    <row r="349" spans="14:14" ht="15.75" customHeight="1">
      <c r="N349" s="95"/>
    </row>
    <row r="350" spans="14:14" ht="15.75" customHeight="1">
      <c r="N350" s="95"/>
    </row>
    <row r="351" spans="14:14" ht="15.75" customHeight="1">
      <c r="N351" s="95"/>
    </row>
    <row r="352" spans="14:14" ht="15.75" customHeight="1">
      <c r="N352" s="95"/>
    </row>
    <row r="353" spans="14:14" ht="15.75" customHeight="1">
      <c r="N353" s="95"/>
    </row>
    <row r="354" spans="14:14" ht="15.75" customHeight="1">
      <c r="N354" s="95"/>
    </row>
    <row r="355" spans="14:14" ht="15.75" customHeight="1">
      <c r="N355" s="95"/>
    </row>
    <row r="356" spans="14:14" ht="15.75" customHeight="1">
      <c r="N356" s="95"/>
    </row>
    <row r="357" spans="14:14" ht="15.75" customHeight="1">
      <c r="N357" s="95"/>
    </row>
    <row r="358" spans="14:14" ht="15.75" customHeight="1">
      <c r="N358" s="95"/>
    </row>
    <row r="359" spans="14:14" ht="15.75" customHeight="1">
      <c r="N359" s="95"/>
    </row>
    <row r="360" spans="14:14" ht="15.75" customHeight="1">
      <c r="N360" s="95"/>
    </row>
    <row r="361" spans="14:14" ht="15.75" customHeight="1">
      <c r="N361" s="95"/>
    </row>
    <row r="362" spans="14:14" ht="15.75" customHeight="1">
      <c r="N362" s="95"/>
    </row>
    <row r="363" spans="14:14" ht="15.75" customHeight="1">
      <c r="N363" s="95"/>
    </row>
    <row r="364" spans="14:14" ht="15.75" customHeight="1">
      <c r="N364" s="95"/>
    </row>
    <row r="365" spans="14:14" ht="15.75" customHeight="1">
      <c r="N365" s="95"/>
    </row>
    <row r="366" spans="14:14" ht="15.75" customHeight="1">
      <c r="N366" s="95"/>
    </row>
    <row r="367" spans="14:14" ht="15.75" customHeight="1">
      <c r="N367" s="95"/>
    </row>
    <row r="368" spans="14:14" ht="15.75" customHeight="1">
      <c r="N368" s="95"/>
    </row>
    <row r="369" spans="14:14" ht="15.75" customHeight="1">
      <c r="N369" s="95"/>
    </row>
    <row r="370" spans="14:14" ht="15.75" customHeight="1">
      <c r="N370" s="95"/>
    </row>
    <row r="371" spans="14:14" ht="15.75" customHeight="1">
      <c r="N371" s="95"/>
    </row>
    <row r="372" spans="14:14" ht="15.75" customHeight="1">
      <c r="N372" s="95"/>
    </row>
    <row r="373" spans="14:14" ht="15.75" customHeight="1">
      <c r="N373" s="95"/>
    </row>
    <row r="374" spans="14:14" ht="15.75" customHeight="1">
      <c r="N374" s="95"/>
    </row>
    <row r="375" spans="14:14" ht="15.75" customHeight="1">
      <c r="N375" s="95"/>
    </row>
    <row r="376" spans="14:14" ht="15.75" customHeight="1">
      <c r="N376" s="95"/>
    </row>
    <row r="377" spans="14:14" ht="15.75" customHeight="1">
      <c r="N377" s="95"/>
    </row>
    <row r="378" spans="14:14" ht="15.75" customHeight="1">
      <c r="N378" s="95"/>
    </row>
    <row r="379" spans="14:14" ht="15.75" customHeight="1">
      <c r="N379" s="95"/>
    </row>
    <row r="380" spans="14:14" ht="15.75" customHeight="1">
      <c r="N380" s="95"/>
    </row>
    <row r="381" spans="14:14" ht="15.75" customHeight="1">
      <c r="N381" s="95"/>
    </row>
    <row r="382" spans="14:14" ht="15.75" customHeight="1">
      <c r="N382" s="95"/>
    </row>
    <row r="383" spans="14:14" ht="15.75" customHeight="1">
      <c r="N383" s="95"/>
    </row>
    <row r="384" spans="14:14" ht="15.75" customHeight="1">
      <c r="N384" s="95"/>
    </row>
    <row r="385" spans="14:14" ht="15.75" customHeight="1">
      <c r="N385" s="95"/>
    </row>
    <row r="386" spans="14:14" ht="15.75" customHeight="1">
      <c r="N386" s="95"/>
    </row>
    <row r="387" spans="14:14" ht="15.75" customHeight="1">
      <c r="N387" s="95"/>
    </row>
    <row r="388" spans="14:14" ht="15.75" customHeight="1">
      <c r="N388" s="95"/>
    </row>
    <row r="389" spans="14:14" ht="15.75" customHeight="1">
      <c r="N389" s="95"/>
    </row>
    <row r="390" spans="14:14" ht="15.75" customHeight="1">
      <c r="N390" s="95"/>
    </row>
    <row r="391" spans="14:14" ht="15.75" customHeight="1">
      <c r="N391" s="95"/>
    </row>
    <row r="392" spans="14:14" ht="15.75" customHeight="1">
      <c r="N392" s="95"/>
    </row>
    <row r="393" spans="14:14" ht="15.75" customHeight="1">
      <c r="N393" s="95"/>
    </row>
    <row r="394" spans="14:14" ht="15.75" customHeight="1">
      <c r="N394" s="95"/>
    </row>
    <row r="395" spans="14:14" ht="15.75" customHeight="1">
      <c r="N395" s="95"/>
    </row>
    <row r="396" spans="14:14" ht="15.75" customHeight="1">
      <c r="N396" s="95"/>
    </row>
    <row r="397" spans="14:14" ht="15.75" customHeight="1">
      <c r="N397" s="95"/>
    </row>
    <row r="398" spans="14:14" ht="15.75" customHeight="1">
      <c r="N398" s="95"/>
    </row>
    <row r="399" spans="14:14" ht="15.75" customHeight="1">
      <c r="N399" s="95"/>
    </row>
    <row r="400" spans="14:14" ht="15.75" customHeight="1">
      <c r="N400" s="95"/>
    </row>
    <row r="401" spans="14:14" ht="15.75" customHeight="1">
      <c r="N401" s="95"/>
    </row>
    <row r="402" spans="14:14" ht="15.75" customHeight="1">
      <c r="N402" s="95"/>
    </row>
    <row r="403" spans="14:14" ht="15.75" customHeight="1">
      <c r="N403" s="95"/>
    </row>
    <row r="404" spans="14:14" ht="15.75" customHeight="1">
      <c r="N404" s="95"/>
    </row>
    <row r="405" spans="14:14" ht="15.75" customHeight="1">
      <c r="N405" s="95"/>
    </row>
    <row r="406" spans="14:14" ht="15.75" customHeight="1">
      <c r="N406" s="95"/>
    </row>
    <row r="407" spans="14:14" ht="15.75" customHeight="1">
      <c r="N407" s="95"/>
    </row>
    <row r="408" spans="14:14" ht="15.75" customHeight="1">
      <c r="N408" s="95"/>
    </row>
    <row r="409" spans="14:14" ht="15.75" customHeight="1">
      <c r="N409" s="95"/>
    </row>
    <row r="410" spans="14:14" ht="15.75" customHeight="1">
      <c r="N410" s="95"/>
    </row>
    <row r="411" spans="14:14" ht="15.75" customHeight="1">
      <c r="N411" s="95"/>
    </row>
    <row r="412" spans="14:14" ht="15.75" customHeight="1">
      <c r="N412" s="95"/>
    </row>
    <row r="413" spans="14:14" ht="15.75" customHeight="1">
      <c r="N413" s="95"/>
    </row>
    <row r="414" spans="14:14" ht="15.75" customHeight="1">
      <c r="N414" s="95"/>
    </row>
    <row r="415" spans="14:14" ht="15.75" customHeight="1">
      <c r="N415" s="95"/>
    </row>
    <row r="416" spans="14:14" ht="15.75" customHeight="1">
      <c r="N416" s="95"/>
    </row>
    <row r="417" spans="14:14" ht="15.75" customHeight="1">
      <c r="N417" s="95"/>
    </row>
    <row r="418" spans="14:14" ht="15.75" customHeight="1">
      <c r="N418" s="95"/>
    </row>
    <row r="419" spans="14:14" ht="15.75" customHeight="1">
      <c r="N419" s="95"/>
    </row>
    <row r="420" spans="14:14" ht="15.75" customHeight="1">
      <c r="N420" s="95"/>
    </row>
    <row r="421" spans="14:14" ht="15.75" customHeight="1">
      <c r="N421" s="95"/>
    </row>
    <row r="422" spans="14:14" ht="15.75" customHeight="1">
      <c r="N422" s="95"/>
    </row>
    <row r="423" spans="14:14" ht="15.75" customHeight="1">
      <c r="N423" s="95"/>
    </row>
    <row r="424" spans="14:14" ht="15.75" customHeight="1">
      <c r="N424" s="95"/>
    </row>
    <row r="425" spans="14:14" ht="15.75" customHeight="1">
      <c r="N425" s="95"/>
    </row>
    <row r="426" spans="14:14" ht="15.75" customHeight="1">
      <c r="N426" s="95"/>
    </row>
    <row r="427" spans="14:14" ht="15.75" customHeight="1">
      <c r="N427" s="95"/>
    </row>
    <row r="428" spans="14:14" ht="15.75" customHeight="1">
      <c r="N428" s="95"/>
    </row>
    <row r="429" spans="14:14" ht="15.75" customHeight="1">
      <c r="N429" s="95"/>
    </row>
    <row r="430" spans="14:14" ht="15.75" customHeight="1">
      <c r="N430" s="95"/>
    </row>
    <row r="431" spans="14:14" ht="15.75" customHeight="1">
      <c r="N431" s="95"/>
    </row>
    <row r="432" spans="14:14" ht="15.75" customHeight="1">
      <c r="N432" s="95"/>
    </row>
    <row r="433" spans="14:14" ht="15.75" customHeight="1">
      <c r="N433" s="95"/>
    </row>
    <row r="434" spans="14:14" ht="15.75" customHeight="1">
      <c r="N434" s="95"/>
    </row>
    <row r="435" spans="14:14" ht="15.75" customHeight="1">
      <c r="N435" s="95"/>
    </row>
    <row r="436" spans="14:14" ht="15.75" customHeight="1">
      <c r="N436" s="95"/>
    </row>
    <row r="437" spans="14:14" ht="15.75" customHeight="1">
      <c r="N437" s="95"/>
    </row>
    <row r="438" spans="14:14" ht="15.75" customHeight="1">
      <c r="N438" s="95"/>
    </row>
    <row r="439" spans="14:14" ht="15.75" customHeight="1">
      <c r="N439" s="95"/>
    </row>
    <row r="440" spans="14:14" ht="15.75" customHeight="1">
      <c r="N440" s="95"/>
    </row>
    <row r="441" spans="14:14" ht="15.75" customHeight="1">
      <c r="N441" s="95"/>
    </row>
    <row r="442" spans="14:14" ht="15.75" customHeight="1">
      <c r="N442" s="95"/>
    </row>
    <row r="443" spans="14:14" ht="15.75" customHeight="1">
      <c r="N443" s="95"/>
    </row>
    <row r="444" spans="14:14" ht="15.75" customHeight="1">
      <c r="N444" s="95"/>
    </row>
    <row r="445" spans="14:14" ht="15.75" customHeight="1">
      <c r="N445" s="95"/>
    </row>
    <row r="446" spans="14:14" ht="15.75" customHeight="1">
      <c r="N446" s="95"/>
    </row>
    <row r="447" spans="14:14" ht="15.75" customHeight="1">
      <c r="N447" s="95"/>
    </row>
    <row r="448" spans="14:14" ht="15.75" customHeight="1">
      <c r="N448" s="95"/>
    </row>
    <row r="449" spans="14:14" ht="15.75" customHeight="1">
      <c r="N449" s="95"/>
    </row>
    <row r="450" spans="14:14" ht="15.75" customHeight="1">
      <c r="N450" s="95"/>
    </row>
    <row r="451" spans="14:14" ht="15.75" customHeight="1">
      <c r="N451" s="95"/>
    </row>
    <row r="452" spans="14:14" ht="15.75" customHeight="1">
      <c r="N452" s="95"/>
    </row>
    <row r="453" spans="14:14" ht="15.75" customHeight="1">
      <c r="N453" s="95"/>
    </row>
    <row r="454" spans="14:14" ht="15.75" customHeight="1">
      <c r="N454" s="95"/>
    </row>
    <row r="455" spans="14:14" ht="15.75" customHeight="1">
      <c r="N455" s="95"/>
    </row>
    <row r="456" spans="14:14" ht="15.75" customHeight="1">
      <c r="N456" s="95"/>
    </row>
    <row r="457" spans="14:14" ht="15.75" customHeight="1">
      <c r="N457" s="95"/>
    </row>
    <row r="458" spans="14:14" ht="15.75" customHeight="1">
      <c r="N458" s="95"/>
    </row>
    <row r="459" spans="14:14" ht="15.75" customHeight="1">
      <c r="N459" s="95"/>
    </row>
    <row r="460" spans="14:14" ht="15.75" customHeight="1">
      <c r="N460" s="95"/>
    </row>
    <row r="461" spans="14:14" ht="15.75" customHeight="1">
      <c r="N461" s="95"/>
    </row>
    <row r="462" spans="14:14" ht="15.75" customHeight="1">
      <c r="N462" s="95"/>
    </row>
    <row r="463" spans="14:14" ht="15.75" customHeight="1">
      <c r="N463" s="95"/>
    </row>
    <row r="464" spans="14:14" ht="15.75" customHeight="1">
      <c r="N464" s="95"/>
    </row>
    <row r="465" spans="14:14" ht="15.75" customHeight="1">
      <c r="N465" s="95"/>
    </row>
    <row r="466" spans="14:14" ht="15.75" customHeight="1">
      <c r="N466" s="95"/>
    </row>
    <row r="467" spans="14:14" ht="15.75" customHeight="1">
      <c r="N467" s="95"/>
    </row>
    <row r="468" spans="14:14" ht="15.75" customHeight="1">
      <c r="N468" s="95"/>
    </row>
    <row r="469" spans="14:14" ht="15.75" customHeight="1">
      <c r="N469" s="95"/>
    </row>
    <row r="470" spans="14:14" ht="15.75" customHeight="1">
      <c r="N470" s="95"/>
    </row>
    <row r="471" spans="14:14" ht="15.75" customHeight="1">
      <c r="N471" s="95"/>
    </row>
    <row r="472" spans="14:14" ht="15.75" customHeight="1">
      <c r="N472" s="95"/>
    </row>
    <row r="473" spans="14:14" ht="15.75" customHeight="1">
      <c r="N473" s="95"/>
    </row>
    <row r="474" spans="14:14" ht="15.75" customHeight="1">
      <c r="N474" s="95"/>
    </row>
    <row r="475" spans="14:14" ht="15.75" customHeight="1">
      <c r="N475" s="95"/>
    </row>
    <row r="476" spans="14:14" ht="15.75" customHeight="1">
      <c r="N476" s="95"/>
    </row>
    <row r="477" spans="14:14" ht="15.75" customHeight="1">
      <c r="N477" s="95"/>
    </row>
    <row r="478" spans="14:14" ht="15.75" customHeight="1">
      <c r="N478" s="95"/>
    </row>
    <row r="479" spans="14:14" ht="15.75" customHeight="1">
      <c r="N479" s="95"/>
    </row>
    <row r="480" spans="14:14" ht="15.75" customHeight="1">
      <c r="N480" s="95"/>
    </row>
    <row r="481" spans="14:14" ht="15.75" customHeight="1">
      <c r="N481" s="95"/>
    </row>
    <row r="482" spans="14:14" ht="15.75" customHeight="1">
      <c r="N482" s="95"/>
    </row>
    <row r="483" spans="14:14" ht="15.75" customHeight="1">
      <c r="N483" s="95"/>
    </row>
    <row r="484" spans="14:14" ht="15.75" customHeight="1">
      <c r="N484" s="95"/>
    </row>
    <row r="485" spans="14:14" ht="15.75" customHeight="1">
      <c r="N485" s="95"/>
    </row>
    <row r="486" spans="14:14" ht="15.75" customHeight="1">
      <c r="N486" s="95"/>
    </row>
    <row r="487" spans="14:14" ht="15.75" customHeight="1">
      <c r="N487" s="95"/>
    </row>
    <row r="488" spans="14:14" ht="15.75" customHeight="1">
      <c r="N488" s="95"/>
    </row>
    <row r="489" spans="14:14" ht="15.75" customHeight="1">
      <c r="N489" s="95"/>
    </row>
    <row r="490" spans="14:14" ht="15.75" customHeight="1">
      <c r="N490" s="95"/>
    </row>
    <row r="491" spans="14:14" ht="15.75" customHeight="1">
      <c r="N491" s="95"/>
    </row>
    <row r="492" spans="14:14" ht="15.75" customHeight="1">
      <c r="N492" s="95"/>
    </row>
    <row r="493" spans="14:14" ht="15.75" customHeight="1">
      <c r="N493" s="95"/>
    </row>
    <row r="494" spans="14:14" ht="15.75" customHeight="1">
      <c r="N494" s="95"/>
    </row>
    <row r="495" spans="14:14" ht="15.75" customHeight="1">
      <c r="N495" s="95"/>
    </row>
    <row r="496" spans="14:14" ht="15.75" customHeight="1">
      <c r="N496" s="95"/>
    </row>
    <row r="497" spans="14:14" ht="15.75" customHeight="1">
      <c r="N497" s="95"/>
    </row>
    <row r="498" spans="14:14" ht="15.75" customHeight="1">
      <c r="N498" s="95"/>
    </row>
    <row r="499" spans="14:14" ht="15.75" customHeight="1">
      <c r="N499" s="95"/>
    </row>
    <row r="500" spans="14:14" ht="15.75" customHeight="1">
      <c r="N500" s="95"/>
    </row>
    <row r="501" spans="14:14" ht="15.75" customHeight="1">
      <c r="N501" s="95"/>
    </row>
    <row r="502" spans="14:14" ht="15.75" customHeight="1">
      <c r="N502" s="95"/>
    </row>
    <row r="503" spans="14:14" ht="15.75" customHeight="1">
      <c r="N503" s="95"/>
    </row>
    <row r="504" spans="14:14" ht="15.75" customHeight="1">
      <c r="N504" s="95"/>
    </row>
    <row r="505" spans="14:14" ht="15.75" customHeight="1">
      <c r="N505" s="95"/>
    </row>
    <row r="506" spans="14:14" ht="15.75" customHeight="1">
      <c r="N506" s="95"/>
    </row>
    <row r="507" spans="14:14" ht="15.75" customHeight="1">
      <c r="N507" s="95"/>
    </row>
    <row r="508" spans="14:14" ht="15.75" customHeight="1">
      <c r="N508" s="95"/>
    </row>
    <row r="509" spans="14:14" ht="15.75" customHeight="1">
      <c r="N509" s="95"/>
    </row>
    <row r="510" spans="14:14" ht="15.75" customHeight="1">
      <c r="N510" s="95"/>
    </row>
    <row r="511" spans="14:14" ht="15.75" customHeight="1">
      <c r="N511" s="95"/>
    </row>
    <row r="512" spans="14:14" ht="15.75" customHeight="1">
      <c r="N512" s="95"/>
    </row>
    <row r="513" spans="14:14" ht="15.75" customHeight="1">
      <c r="N513" s="95"/>
    </row>
    <row r="514" spans="14:14" ht="15.75" customHeight="1">
      <c r="N514" s="95"/>
    </row>
    <row r="515" spans="14:14" ht="15.75" customHeight="1">
      <c r="N515" s="95"/>
    </row>
    <row r="516" spans="14:14" ht="15.75" customHeight="1">
      <c r="N516" s="95"/>
    </row>
    <row r="517" spans="14:14" ht="15.75" customHeight="1">
      <c r="N517" s="95"/>
    </row>
    <row r="518" spans="14:14" ht="15.75" customHeight="1">
      <c r="N518" s="95"/>
    </row>
    <row r="519" spans="14:14" ht="15.75" customHeight="1">
      <c r="N519" s="95"/>
    </row>
    <row r="520" spans="14:14" ht="15.75" customHeight="1">
      <c r="N520" s="95"/>
    </row>
    <row r="521" spans="14:14" ht="15.75" customHeight="1">
      <c r="N521" s="95"/>
    </row>
    <row r="522" spans="14:14" ht="15.75" customHeight="1">
      <c r="N522" s="95"/>
    </row>
    <row r="523" spans="14:14" ht="15.75" customHeight="1">
      <c r="N523" s="95"/>
    </row>
    <row r="524" spans="14:14" ht="15.75" customHeight="1">
      <c r="N524" s="95"/>
    </row>
    <row r="525" spans="14:14" ht="15.75" customHeight="1">
      <c r="N525" s="95"/>
    </row>
    <row r="526" spans="14:14" ht="15.75" customHeight="1">
      <c r="N526" s="95"/>
    </row>
    <row r="527" spans="14:14" ht="15.75" customHeight="1">
      <c r="N527" s="95"/>
    </row>
    <row r="528" spans="14:14" ht="15.75" customHeight="1">
      <c r="N528" s="95"/>
    </row>
    <row r="529" spans="14:14" ht="15.75" customHeight="1">
      <c r="N529" s="95"/>
    </row>
    <row r="530" spans="14:14" ht="15.75" customHeight="1">
      <c r="N530" s="95"/>
    </row>
    <row r="531" spans="14:14" ht="15.75" customHeight="1">
      <c r="N531" s="95"/>
    </row>
    <row r="532" spans="14:14" ht="15.75" customHeight="1">
      <c r="N532" s="95"/>
    </row>
    <row r="533" spans="14:14" ht="15.75" customHeight="1">
      <c r="N533" s="95"/>
    </row>
    <row r="534" spans="14:14" ht="15.75" customHeight="1">
      <c r="N534" s="95"/>
    </row>
    <row r="535" spans="14:14" ht="15.75" customHeight="1">
      <c r="N535" s="95"/>
    </row>
    <row r="536" spans="14:14" ht="15.75" customHeight="1">
      <c r="N536" s="95"/>
    </row>
    <row r="537" spans="14:14" ht="15.75" customHeight="1">
      <c r="N537" s="95"/>
    </row>
    <row r="538" spans="14:14" ht="15.75" customHeight="1">
      <c r="N538" s="95"/>
    </row>
    <row r="539" spans="14:14" ht="15.75" customHeight="1">
      <c r="N539" s="95"/>
    </row>
    <row r="540" spans="14:14" ht="15.75" customHeight="1">
      <c r="N540" s="95"/>
    </row>
    <row r="541" spans="14:14" ht="15.75" customHeight="1">
      <c r="N541" s="95"/>
    </row>
    <row r="542" spans="14:14" ht="15.75" customHeight="1">
      <c r="N542" s="95"/>
    </row>
    <row r="543" spans="14:14" ht="15.75" customHeight="1">
      <c r="N543" s="95"/>
    </row>
    <row r="544" spans="14:14" ht="15.75" customHeight="1">
      <c r="N544" s="95"/>
    </row>
    <row r="545" spans="14:14" ht="15.75" customHeight="1">
      <c r="N545" s="95"/>
    </row>
    <row r="546" spans="14:14" ht="15.75" customHeight="1">
      <c r="N546" s="95"/>
    </row>
    <row r="547" spans="14:14" ht="15.75" customHeight="1">
      <c r="N547" s="95"/>
    </row>
    <row r="548" spans="14:14" ht="15.75" customHeight="1">
      <c r="N548" s="95"/>
    </row>
    <row r="549" spans="14:14" ht="15.75" customHeight="1">
      <c r="N549" s="95"/>
    </row>
    <row r="550" spans="14:14" ht="15.75" customHeight="1">
      <c r="N550" s="95"/>
    </row>
    <row r="551" spans="14:14" ht="15.75" customHeight="1">
      <c r="N551" s="95"/>
    </row>
    <row r="552" spans="14:14" ht="15.75" customHeight="1">
      <c r="N552" s="95"/>
    </row>
    <row r="553" spans="14:14" ht="15.75" customHeight="1">
      <c r="N553" s="95"/>
    </row>
    <row r="554" spans="14:14" ht="15.75" customHeight="1">
      <c r="N554" s="95"/>
    </row>
    <row r="555" spans="14:14" ht="15.75" customHeight="1">
      <c r="N555" s="95"/>
    </row>
    <row r="556" spans="14:14" ht="15.75" customHeight="1">
      <c r="N556" s="95"/>
    </row>
    <row r="557" spans="14:14" ht="15.75" customHeight="1">
      <c r="N557" s="95"/>
    </row>
    <row r="558" spans="14:14" ht="15.75" customHeight="1">
      <c r="N558" s="95"/>
    </row>
    <row r="559" spans="14:14" ht="15.75" customHeight="1">
      <c r="N559" s="95"/>
    </row>
    <row r="560" spans="14:14" ht="15.75" customHeight="1">
      <c r="N560" s="95"/>
    </row>
    <row r="561" spans="14:14" ht="15.75" customHeight="1">
      <c r="N561" s="95"/>
    </row>
    <row r="562" spans="14:14" ht="15.75" customHeight="1">
      <c r="N562" s="95"/>
    </row>
    <row r="563" spans="14:14" ht="15.75" customHeight="1">
      <c r="N563" s="95"/>
    </row>
    <row r="564" spans="14:14" ht="15.75" customHeight="1">
      <c r="N564" s="95"/>
    </row>
    <row r="565" spans="14:14" ht="15.75" customHeight="1">
      <c r="N565" s="95"/>
    </row>
    <row r="566" spans="14:14" ht="15.75" customHeight="1">
      <c r="N566" s="95"/>
    </row>
    <row r="567" spans="14:14" ht="15.75" customHeight="1">
      <c r="N567" s="95"/>
    </row>
    <row r="568" spans="14:14" ht="15.75" customHeight="1">
      <c r="N568" s="95"/>
    </row>
    <row r="569" spans="14:14" ht="15.75" customHeight="1">
      <c r="N569" s="95"/>
    </row>
    <row r="570" spans="14:14" ht="15.75" customHeight="1">
      <c r="N570" s="95"/>
    </row>
    <row r="571" spans="14:14" ht="15.75" customHeight="1">
      <c r="N571" s="95"/>
    </row>
    <row r="572" spans="14:14" ht="15.75" customHeight="1">
      <c r="N572" s="95"/>
    </row>
    <row r="573" spans="14:14" ht="15.75" customHeight="1">
      <c r="N573" s="95"/>
    </row>
    <row r="574" spans="14:14" ht="15.75" customHeight="1">
      <c r="N574" s="95"/>
    </row>
    <row r="575" spans="14:14" ht="15.75" customHeight="1">
      <c r="N575" s="95"/>
    </row>
    <row r="576" spans="14:14" ht="15.75" customHeight="1">
      <c r="N576" s="95"/>
    </row>
    <row r="577" spans="14:14" ht="15.75" customHeight="1">
      <c r="N577" s="95"/>
    </row>
    <row r="578" spans="14:14" ht="15.75" customHeight="1">
      <c r="N578" s="95"/>
    </row>
    <row r="579" spans="14:14" ht="15.75" customHeight="1">
      <c r="N579" s="95"/>
    </row>
    <row r="580" spans="14:14" ht="15.75" customHeight="1">
      <c r="N580" s="95"/>
    </row>
    <row r="581" spans="14:14" ht="15.75" customHeight="1">
      <c r="N581" s="95"/>
    </row>
    <row r="582" spans="14:14" ht="15.75" customHeight="1">
      <c r="N582" s="95"/>
    </row>
    <row r="583" spans="14:14" ht="15.75" customHeight="1">
      <c r="N583" s="95"/>
    </row>
    <row r="584" spans="14:14" ht="15.75" customHeight="1">
      <c r="N584" s="95"/>
    </row>
    <row r="585" spans="14:14" ht="15.75" customHeight="1">
      <c r="N585" s="95"/>
    </row>
    <row r="586" spans="14:14" ht="15.75" customHeight="1">
      <c r="N586" s="95"/>
    </row>
    <row r="587" spans="14:14" ht="15.75" customHeight="1">
      <c r="N587" s="95"/>
    </row>
    <row r="588" spans="14:14" ht="15.75" customHeight="1">
      <c r="N588" s="95"/>
    </row>
    <row r="589" spans="14:14" ht="15.75" customHeight="1">
      <c r="N589" s="95"/>
    </row>
    <row r="590" spans="14:14" ht="15.75" customHeight="1">
      <c r="N590" s="95"/>
    </row>
    <row r="591" spans="14:14" ht="15.75" customHeight="1">
      <c r="N591" s="95"/>
    </row>
    <row r="592" spans="14:14" ht="15.75" customHeight="1">
      <c r="N592" s="95"/>
    </row>
    <row r="593" spans="14:14" ht="15.75" customHeight="1">
      <c r="N593" s="95"/>
    </row>
    <row r="594" spans="14:14" ht="15.75" customHeight="1">
      <c r="N594" s="95"/>
    </row>
    <row r="595" spans="14:14" ht="15.75" customHeight="1">
      <c r="N595" s="95"/>
    </row>
    <row r="596" spans="14:14" ht="15.75" customHeight="1">
      <c r="N596" s="95"/>
    </row>
    <row r="597" spans="14:14" ht="15.75" customHeight="1">
      <c r="N597" s="95"/>
    </row>
    <row r="598" spans="14:14" ht="15.75" customHeight="1">
      <c r="N598" s="95"/>
    </row>
    <row r="599" spans="14:14" ht="15.75" customHeight="1">
      <c r="N599" s="95"/>
    </row>
    <row r="600" spans="14:14" ht="15.75" customHeight="1">
      <c r="N600" s="95"/>
    </row>
    <row r="601" spans="14:14" ht="15.75" customHeight="1">
      <c r="N601" s="95"/>
    </row>
    <row r="602" spans="14:14" ht="15.75" customHeight="1">
      <c r="N602" s="95"/>
    </row>
    <row r="603" spans="14:14" ht="15.75" customHeight="1">
      <c r="N603" s="95"/>
    </row>
    <row r="604" spans="14:14" ht="15.75" customHeight="1">
      <c r="N604" s="95"/>
    </row>
    <row r="605" spans="14:14" ht="15.75" customHeight="1">
      <c r="N605" s="95"/>
    </row>
    <row r="606" spans="14:14" ht="15.75" customHeight="1">
      <c r="N606" s="95"/>
    </row>
    <row r="607" spans="14:14" ht="15.75" customHeight="1">
      <c r="N607" s="95"/>
    </row>
    <row r="608" spans="14:14" ht="15.75" customHeight="1">
      <c r="N608" s="95"/>
    </row>
    <row r="609" spans="14:14" ht="15.75" customHeight="1">
      <c r="N609" s="95"/>
    </row>
    <row r="610" spans="14:14" ht="15.75" customHeight="1">
      <c r="N610" s="95"/>
    </row>
    <row r="611" spans="14:14" ht="15.75" customHeight="1">
      <c r="N611" s="95"/>
    </row>
    <row r="612" spans="14:14" ht="15.75" customHeight="1">
      <c r="N612" s="95"/>
    </row>
    <row r="613" spans="14:14" ht="15.75" customHeight="1">
      <c r="N613" s="95"/>
    </row>
    <row r="614" spans="14:14" ht="15.75" customHeight="1">
      <c r="N614" s="95"/>
    </row>
    <row r="615" spans="14:14" ht="15.75" customHeight="1">
      <c r="N615" s="95"/>
    </row>
    <row r="616" spans="14:14" ht="15.75" customHeight="1">
      <c r="N616" s="95"/>
    </row>
    <row r="617" spans="14:14" ht="15.75" customHeight="1">
      <c r="N617" s="95"/>
    </row>
    <row r="618" spans="14:14" ht="15.75" customHeight="1">
      <c r="N618" s="95"/>
    </row>
    <row r="619" spans="14:14" ht="15.75" customHeight="1">
      <c r="N619" s="95"/>
    </row>
    <row r="620" spans="14:14" ht="15.75" customHeight="1">
      <c r="N620" s="95"/>
    </row>
    <row r="621" spans="14:14" ht="15.75" customHeight="1">
      <c r="N621" s="95"/>
    </row>
    <row r="622" spans="14:14" ht="15.75" customHeight="1">
      <c r="N622" s="95"/>
    </row>
    <row r="623" spans="14:14" ht="15.75" customHeight="1">
      <c r="N623" s="95"/>
    </row>
    <row r="624" spans="14:14" ht="15.75" customHeight="1">
      <c r="N624" s="95"/>
    </row>
    <row r="625" spans="14:14" ht="15.75" customHeight="1">
      <c r="N625" s="95"/>
    </row>
    <row r="626" spans="14:14" ht="15.75" customHeight="1">
      <c r="N626" s="95"/>
    </row>
    <row r="627" spans="14:14" ht="15.75" customHeight="1">
      <c r="N627" s="95"/>
    </row>
    <row r="628" spans="14:14" ht="15.75" customHeight="1">
      <c r="N628" s="95"/>
    </row>
    <row r="629" spans="14:14" ht="15.75" customHeight="1">
      <c r="N629" s="95"/>
    </row>
    <row r="630" spans="14:14" ht="15.75" customHeight="1">
      <c r="N630" s="95"/>
    </row>
    <row r="631" spans="14:14" ht="15.75" customHeight="1">
      <c r="N631" s="95"/>
    </row>
    <row r="632" spans="14:14" ht="15.75" customHeight="1">
      <c r="N632" s="95"/>
    </row>
    <row r="633" spans="14:14" ht="15.75" customHeight="1">
      <c r="N633" s="95"/>
    </row>
    <row r="634" spans="14:14" ht="15.75" customHeight="1">
      <c r="N634" s="95"/>
    </row>
    <row r="635" spans="14:14" ht="15.75" customHeight="1">
      <c r="N635" s="95"/>
    </row>
    <row r="636" spans="14:14" ht="15.75" customHeight="1">
      <c r="N636" s="95"/>
    </row>
    <row r="637" spans="14:14" ht="15.75" customHeight="1">
      <c r="N637" s="95"/>
    </row>
    <row r="638" spans="14:14" ht="15.75" customHeight="1">
      <c r="N638" s="95"/>
    </row>
    <row r="639" spans="14:14" ht="15.75" customHeight="1">
      <c r="N639" s="95"/>
    </row>
    <row r="640" spans="14:14" ht="15.75" customHeight="1">
      <c r="N640" s="95"/>
    </row>
    <row r="641" spans="14:14" ht="15.75" customHeight="1">
      <c r="N641" s="95"/>
    </row>
    <row r="642" spans="14:14" ht="15.75" customHeight="1">
      <c r="N642" s="95"/>
    </row>
    <row r="643" spans="14:14" ht="15.75" customHeight="1">
      <c r="N643" s="95"/>
    </row>
    <row r="644" spans="14:14" ht="15.75" customHeight="1">
      <c r="N644" s="95"/>
    </row>
    <row r="645" spans="14:14" ht="15.75" customHeight="1">
      <c r="N645" s="95"/>
    </row>
    <row r="646" spans="14:14" ht="15.75" customHeight="1">
      <c r="N646" s="95"/>
    </row>
    <row r="647" spans="14:14" ht="15.75" customHeight="1">
      <c r="N647" s="95"/>
    </row>
    <row r="648" spans="14:14" ht="15.75" customHeight="1">
      <c r="N648" s="95"/>
    </row>
    <row r="649" spans="14:14" ht="15.75" customHeight="1">
      <c r="N649" s="95"/>
    </row>
    <row r="650" spans="14:14" ht="15.75" customHeight="1">
      <c r="N650" s="95"/>
    </row>
    <row r="651" spans="14:14" ht="15.75" customHeight="1">
      <c r="N651" s="95"/>
    </row>
    <row r="652" spans="14:14" ht="15.75" customHeight="1">
      <c r="N652" s="95"/>
    </row>
    <row r="653" spans="14:14" ht="15.75" customHeight="1">
      <c r="N653" s="95"/>
    </row>
    <row r="654" spans="14:14" ht="15.75" customHeight="1">
      <c r="N654" s="95"/>
    </row>
    <row r="655" spans="14:14" ht="15.75" customHeight="1">
      <c r="N655" s="95"/>
    </row>
    <row r="656" spans="14:14" ht="15.75" customHeight="1">
      <c r="N656" s="95"/>
    </row>
    <row r="657" spans="14:14" ht="15.75" customHeight="1">
      <c r="N657" s="95"/>
    </row>
    <row r="658" spans="14:14" ht="15.75" customHeight="1">
      <c r="N658" s="95"/>
    </row>
    <row r="659" spans="14:14" ht="15.75" customHeight="1">
      <c r="N659" s="95"/>
    </row>
    <row r="660" spans="14:14" ht="15.75" customHeight="1">
      <c r="N660" s="95"/>
    </row>
    <row r="661" spans="14:14" ht="15.75" customHeight="1">
      <c r="N661" s="95"/>
    </row>
    <row r="662" spans="14:14" ht="15.75" customHeight="1">
      <c r="N662" s="95"/>
    </row>
    <row r="663" spans="14:14" ht="15.75" customHeight="1">
      <c r="N663" s="95"/>
    </row>
    <row r="664" spans="14:14" ht="15.75" customHeight="1">
      <c r="N664" s="95"/>
    </row>
    <row r="665" spans="14:14" ht="15.75" customHeight="1">
      <c r="N665" s="95"/>
    </row>
    <row r="666" spans="14:14" ht="15.75" customHeight="1">
      <c r="N666" s="95"/>
    </row>
    <row r="667" spans="14:14" ht="15.75" customHeight="1">
      <c r="N667" s="95"/>
    </row>
    <row r="668" spans="14:14" ht="15.75" customHeight="1">
      <c r="N668" s="95"/>
    </row>
    <row r="669" spans="14:14" ht="15.75" customHeight="1">
      <c r="N669" s="95"/>
    </row>
    <row r="670" spans="14:14" ht="15.75" customHeight="1">
      <c r="N670" s="95"/>
    </row>
    <row r="671" spans="14:14" ht="15.75" customHeight="1">
      <c r="N671" s="95"/>
    </row>
    <row r="672" spans="14:14" ht="15.75" customHeight="1">
      <c r="N672" s="95"/>
    </row>
    <row r="673" spans="14:14" ht="15.75" customHeight="1">
      <c r="N673" s="95"/>
    </row>
    <row r="674" spans="14:14" ht="15.75" customHeight="1">
      <c r="N674" s="95"/>
    </row>
    <row r="675" spans="14:14" ht="15.75" customHeight="1">
      <c r="N675" s="95"/>
    </row>
    <row r="676" spans="14:14" ht="15.75" customHeight="1">
      <c r="N676" s="95"/>
    </row>
    <row r="677" spans="14:14" ht="15.75" customHeight="1">
      <c r="N677" s="95"/>
    </row>
    <row r="678" spans="14:14" ht="15.75" customHeight="1">
      <c r="N678" s="95"/>
    </row>
    <row r="679" spans="14:14" ht="15.75" customHeight="1">
      <c r="N679" s="95"/>
    </row>
    <row r="680" spans="14:14" ht="15.75" customHeight="1">
      <c r="N680" s="95"/>
    </row>
    <row r="681" spans="14:14" ht="15.75" customHeight="1">
      <c r="N681" s="95"/>
    </row>
    <row r="682" spans="14:14" ht="15.75" customHeight="1">
      <c r="N682" s="95"/>
    </row>
    <row r="683" spans="14:14" ht="15.75" customHeight="1">
      <c r="N683" s="95"/>
    </row>
    <row r="684" spans="14:14" ht="15.75" customHeight="1">
      <c r="N684" s="95"/>
    </row>
    <row r="685" spans="14:14" ht="15.75" customHeight="1">
      <c r="N685" s="95"/>
    </row>
    <row r="686" spans="14:14" ht="15.75" customHeight="1">
      <c r="N686" s="95"/>
    </row>
    <row r="687" spans="14:14" ht="15.75" customHeight="1">
      <c r="N687" s="95"/>
    </row>
    <row r="688" spans="14:14" ht="15.75" customHeight="1">
      <c r="N688" s="95"/>
    </row>
    <row r="689" spans="14:14" ht="15.75" customHeight="1">
      <c r="N689" s="95"/>
    </row>
    <row r="690" spans="14:14" ht="15.75" customHeight="1">
      <c r="N690" s="95"/>
    </row>
    <row r="691" spans="14:14" ht="15.75" customHeight="1">
      <c r="N691" s="95"/>
    </row>
    <row r="692" spans="14:14" ht="15.75" customHeight="1">
      <c r="N692" s="95"/>
    </row>
    <row r="693" spans="14:14" ht="15.75" customHeight="1">
      <c r="N693" s="95"/>
    </row>
    <row r="694" spans="14:14" ht="15.75" customHeight="1">
      <c r="N694" s="95"/>
    </row>
    <row r="695" spans="14:14" ht="15.75" customHeight="1">
      <c r="N695" s="95"/>
    </row>
    <row r="696" spans="14:14" ht="15.75" customHeight="1">
      <c r="N696" s="95"/>
    </row>
    <row r="697" spans="14:14" ht="15.75" customHeight="1">
      <c r="N697" s="95"/>
    </row>
    <row r="698" spans="14:14" ht="15.75" customHeight="1">
      <c r="N698" s="95"/>
    </row>
    <row r="699" spans="14:14" ht="15.75" customHeight="1">
      <c r="N699" s="95"/>
    </row>
    <row r="700" spans="14:14" ht="15.75" customHeight="1">
      <c r="N700" s="95"/>
    </row>
    <row r="701" spans="14:14" ht="15.75" customHeight="1">
      <c r="N701" s="95"/>
    </row>
    <row r="702" spans="14:14" ht="15.75" customHeight="1">
      <c r="N702" s="95"/>
    </row>
    <row r="703" spans="14:14" ht="15.75" customHeight="1">
      <c r="N703" s="95"/>
    </row>
    <row r="704" spans="14:14" ht="15.75" customHeight="1">
      <c r="N704" s="95"/>
    </row>
    <row r="705" spans="14:14" ht="15.75" customHeight="1">
      <c r="N705" s="95"/>
    </row>
    <row r="706" spans="14:14" ht="15.75" customHeight="1">
      <c r="N706" s="95"/>
    </row>
    <row r="707" spans="14:14" ht="15.75" customHeight="1">
      <c r="N707" s="95"/>
    </row>
    <row r="708" spans="14:14" ht="15.75" customHeight="1">
      <c r="N708" s="95"/>
    </row>
    <row r="709" spans="14:14" ht="15.75" customHeight="1">
      <c r="N709" s="95"/>
    </row>
    <row r="710" spans="14:14" ht="15.75" customHeight="1">
      <c r="N710" s="95"/>
    </row>
    <row r="711" spans="14:14" ht="15.75" customHeight="1">
      <c r="N711" s="95"/>
    </row>
    <row r="712" spans="14:14" ht="15.75" customHeight="1">
      <c r="N712" s="95"/>
    </row>
    <row r="713" spans="14:14" ht="15.75" customHeight="1">
      <c r="N713" s="95"/>
    </row>
    <row r="714" spans="14:14" ht="15.75" customHeight="1">
      <c r="N714" s="95"/>
    </row>
    <row r="715" spans="14:14" ht="15.75" customHeight="1">
      <c r="N715" s="95"/>
    </row>
    <row r="716" spans="14:14" ht="15.75" customHeight="1">
      <c r="N716" s="95"/>
    </row>
    <row r="717" spans="14:14" ht="15.75" customHeight="1">
      <c r="N717" s="95"/>
    </row>
    <row r="718" spans="14:14" ht="15.75" customHeight="1">
      <c r="N718" s="95"/>
    </row>
    <row r="719" spans="14:14" ht="15.75" customHeight="1">
      <c r="N719" s="95"/>
    </row>
    <row r="720" spans="14:14" ht="15.75" customHeight="1">
      <c r="N720" s="95"/>
    </row>
    <row r="721" spans="14:14" ht="15.75" customHeight="1">
      <c r="N721" s="95"/>
    </row>
    <row r="722" spans="14:14" ht="15.75" customHeight="1">
      <c r="N722" s="95"/>
    </row>
    <row r="723" spans="14:14" ht="15.75" customHeight="1">
      <c r="N723" s="95"/>
    </row>
    <row r="724" spans="14:14" ht="15.75" customHeight="1">
      <c r="N724" s="95"/>
    </row>
    <row r="725" spans="14:14" ht="15.75" customHeight="1">
      <c r="N725" s="95"/>
    </row>
    <row r="726" spans="14:14" ht="15.75" customHeight="1">
      <c r="N726" s="95"/>
    </row>
    <row r="727" spans="14:14" ht="15.75" customHeight="1">
      <c r="N727" s="95"/>
    </row>
    <row r="728" spans="14:14" ht="15.75" customHeight="1">
      <c r="N728" s="95"/>
    </row>
    <row r="729" spans="14:14" ht="15.75" customHeight="1">
      <c r="N729" s="95"/>
    </row>
    <row r="730" spans="14:14" ht="15.75" customHeight="1">
      <c r="N730" s="95"/>
    </row>
    <row r="731" spans="14:14" ht="15.75" customHeight="1">
      <c r="N731" s="95"/>
    </row>
    <row r="732" spans="14:14" ht="15.75" customHeight="1">
      <c r="N732" s="95"/>
    </row>
    <row r="733" spans="14:14" ht="15.75" customHeight="1">
      <c r="N733" s="95"/>
    </row>
    <row r="734" spans="14:14" ht="15.75" customHeight="1">
      <c r="N734" s="95"/>
    </row>
    <row r="735" spans="14:14" ht="15.75" customHeight="1">
      <c r="N735" s="95"/>
    </row>
    <row r="736" spans="14:14" ht="15.75" customHeight="1">
      <c r="N736" s="95"/>
    </row>
    <row r="737" spans="14:14" ht="15.75" customHeight="1">
      <c r="N737" s="95"/>
    </row>
    <row r="738" spans="14:14" ht="15.75" customHeight="1">
      <c r="N738" s="95"/>
    </row>
    <row r="739" spans="14:14" ht="15.75" customHeight="1">
      <c r="N739" s="95"/>
    </row>
    <row r="740" spans="14:14" ht="15.75" customHeight="1">
      <c r="N740" s="95"/>
    </row>
    <row r="741" spans="14:14" ht="15.75" customHeight="1">
      <c r="N741" s="95"/>
    </row>
    <row r="742" spans="14:14" ht="15.75" customHeight="1">
      <c r="N742" s="95"/>
    </row>
    <row r="743" spans="14:14" ht="15.75" customHeight="1">
      <c r="N743" s="95"/>
    </row>
    <row r="744" spans="14:14" ht="15.75" customHeight="1">
      <c r="N744" s="95"/>
    </row>
    <row r="745" spans="14:14" ht="15.75" customHeight="1">
      <c r="N745" s="95"/>
    </row>
    <row r="746" spans="14:14" ht="15.75" customHeight="1">
      <c r="N746" s="95"/>
    </row>
    <row r="747" spans="14:14" ht="15.75" customHeight="1">
      <c r="N747" s="95"/>
    </row>
    <row r="748" spans="14:14" ht="15.75" customHeight="1">
      <c r="N748" s="95"/>
    </row>
    <row r="749" spans="14:14" ht="15.75" customHeight="1">
      <c r="N749" s="95"/>
    </row>
    <row r="750" spans="14:14" ht="15.75" customHeight="1">
      <c r="N750" s="95"/>
    </row>
    <row r="751" spans="14:14" ht="15.75" customHeight="1">
      <c r="N751" s="95"/>
    </row>
    <row r="752" spans="14:14" ht="15.75" customHeight="1">
      <c r="N752" s="95"/>
    </row>
    <row r="753" spans="14:14" ht="15.75" customHeight="1">
      <c r="N753" s="95"/>
    </row>
    <row r="754" spans="14:14" ht="15.75" customHeight="1">
      <c r="N754" s="95"/>
    </row>
    <row r="755" spans="14:14" ht="15.75" customHeight="1">
      <c r="N755" s="95"/>
    </row>
    <row r="756" spans="14:14" ht="15.75" customHeight="1">
      <c r="N756" s="95"/>
    </row>
    <row r="757" spans="14:14" ht="15.75" customHeight="1">
      <c r="N757" s="95"/>
    </row>
    <row r="758" spans="14:14" ht="15.75" customHeight="1">
      <c r="N758" s="95"/>
    </row>
    <row r="759" spans="14:14" ht="15.75" customHeight="1">
      <c r="N759" s="95"/>
    </row>
    <row r="760" spans="14:14" ht="15.75" customHeight="1">
      <c r="N760" s="95"/>
    </row>
    <row r="761" spans="14:14" ht="15.75" customHeight="1">
      <c r="N761" s="95"/>
    </row>
    <row r="762" spans="14:14" ht="15.75" customHeight="1">
      <c r="N762" s="95"/>
    </row>
    <row r="763" spans="14:14" ht="15.75" customHeight="1">
      <c r="N763" s="95"/>
    </row>
    <row r="764" spans="14:14" ht="15.75" customHeight="1">
      <c r="N764" s="95"/>
    </row>
    <row r="765" spans="14:14" ht="15.75" customHeight="1">
      <c r="N765" s="95"/>
    </row>
    <row r="766" spans="14:14" ht="15.75" customHeight="1">
      <c r="N766" s="95"/>
    </row>
    <row r="767" spans="14:14" ht="15.75" customHeight="1">
      <c r="N767" s="95"/>
    </row>
    <row r="768" spans="14:14" ht="15.75" customHeight="1">
      <c r="N768" s="95"/>
    </row>
    <row r="769" spans="14:14" ht="15.75" customHeight="1">
      <c r="N769" s="95"/>
    </row>
    <row r="770" spans="14:14" ht="15.75" customHeight="1">
      <c r="N770" s="95"/>
    </row>
    <row r="771" spans="14:14" ht="15.75" customHeight="1">
      <c r="N771" s="95"/>
    </row>
    <row r="772" spans="14:14" ht="15.75" customHeight="1">
      <c r="N772" s="95"/>
    </row>
    <row r="773" spans="14:14" ht="15.75" customHeight="1">
      <c r="N773" s="95"/>
    </row>
    <row r="774" spans="14:14" ht="15.75" customHeight="1">
      <c r="N774" s="95"/>
    </row>
    <row r="775" spans="14:14" ht="15.75" customHeight="1">
      <c r="N775" s="95"/>
    </row>
    <row r="776" spans="14:14" ht="15.75" customHeight="1">
      <c r="N776" s="95"/>
    </row>
    <row r="777" spans="14:14" ht="15.75" customHeight="1">
      <c r="N777" s="95"/>
    </row>
    <row r="778" spans="14:14" ht="15.75" customHeight="1">
      <c r="N778" s="95"/>
    </row>
    <row r="779" spans="14:14" ht="15.75" customHeight="1">
      <c r="N779" s="95"/>
    </row>
    <row r="780" spans="14:14" ht="15.75" customHeight="1">
      <c r="N780" s="95"/>
    </row>
    <row r="781" spans="14:14" ht="15.75" customHeight="1">
      <c r="N781" s="95"/>
    </row>
    <row r="782" spans="14:14" ht="15.75" customHeight="1">
      <c r="N782" s="95"/>
    </row>
    <row r="783" spans="14:14" ht="15.75" customHeight="1">
      <c r="N783" s="95"/>
    </row>
    <row r="784" spans="14:14" ht="15.75" customHeight="1">
      <c r="N784" s="95"/>
    </row>
    <row r="785" spans="14:14" ht="15.75" customHeight="1">
      <c r="N785" s="95"/>
    </row>
    <row r="786" spans="14:14" ht="15.75" customHeight="1">
      <c r="N786" s="95"/>
    </row>
    <row r="787" spans="14:14" ht="15.75" customHeight="1">
      <c r="N787" s="95"/>
    </row>
    <row r="788" spans="14:14" ht="15.75" customHeight="1">
      <c r="N788" s="95"/>
    </row>
    <row r="789" spans="14:14" ht="15.75" customHeight="1">
      <c r="N789" s="95"/>
    </row>
    <row r="790" spans="14:14" ht="15.75" customHeight="1">
      <c r="N790" s="95"/>
    </row>
    <row r="791" spans="14:14" ht="15.75" customHeight="1">
      <c r="N791" s="95"/>
    </row>
    <row r="792" spans="14:14" ht="15.75" customHeight="1">
      <c r="N792" s="95"/>
    </row>
    <row r="793" spans="14:14" ht="15.75" customHeight="1">
      <c r="N793" s="95"/>
    </row>
    <row r="794" spans="14:14" ht="15.75" customHeight="1">
      <c r="N794" s="95"/>
    </row>
    <row r="795" spans="14:14" ht="15.75" customHeight="1">
      <c r="N795" s="95"/>
    </row>
    <row r="796" spans="14:14" ht="15.75" customHeight="1">
      <c r="N796" s="95"/>
    </row>
    <row r="797" spans="14:14" ht="15.75" customHeight="1">
      <c r="N797" s="95"/>
    </row>
    <row r="798" spans="14:14" ht="15.75" customHeight="1">
      <c r="N798" s="95"/>
    </row>
    <row r="799" spans="14:14" ht="15.75" customHeight="1">
      <c r="N799" s="95"/>
    </row>
    <row r="800" spans="14:14" ht="15.75" customHeight="1">
      <c r="N800" s="95"/>
    </row>
    <row r="801" spans="14:14" ht="15.75" customHeight="1">
      <c r="N801" s="95"/>
    </row>
    <row r="802" spans="14:14" ht="15.75" customHeight="1">
      <c r="N802" s="95"/>
    </row>
    <row r="803" spans="14:14" ht="15.75" customHeight="1">
      <c r="N803" s="95"/>
    </row>
    <row r="804" spans="14:14" ht="15.75" customHeight="1">
      <c r="N804" s="95"/>
    </row>
    <row r="805" spans="14:14" ht="15.75" customHeight="1">
      <c r="N805" s="95"/>
    </row>
    <row r="806" spans="14:14" ht="15.75" customHeight="1">
      <c r="N806" s="95"/>
    </row>
    <row r="807" spans="14:14" ht="15.75" customHeight="1">
      <c r="N807" s="95"/>
    </row>
    <row r="808" spans="14:14" ht="15.75" customHeight="1">
      <c r="N808" s="95"/>
    </row>
    <row r="809" spans="14:14" ht="15.75" customHeight="1">
      <c r="N809" s="95"/>
    </row>
    <row r="810" spans="14:14" ht="15.75" customHeight="1">
      <c r="N810" s="95"/>
    </row>
    <row r="811" spans="14:14" ht="15.75" customHeight="1">
      <c r="N811" s="95"/>
    </row>
    <row r="812" spans="14:14" ht="15.75" customHeight="1">
      <c r="N812" s="95"/>
    </row>
    <row r="813" spans="14:14" ht="15.75" customHeight="1">
      <c r="N813" s="95"/>
    </row>
    <row r="814" spans="14:14" ht="15.75" customHeight="1">
      <c r="N814" s="95"/>
    </row>
    <row r="815" spans="14:14" ht="15.75" customHeight="1">
      <c r="N815" s="95"/>
    </row>
    <row r="816" spans="14:14" ht="15.75" customHeight="1">
      <c r="N816" s="95"/>
    </row>
    <row r="817" spans="14:14" ht="15.75" customHeight="1">
      <c r="N817" s="95"/>
    </row>
    <row r="818" spans="14:14" ht="15.75" customHeight="1">
      <c r="N818" s="95"/>
    </row>
    <row r="819" spans="14:14" ht="15.75" customHeight="1">
      <c r="N819" s="95"/>
    </row>
    <row r="820" spans="14:14" ht="15.75" customHeight="1">
      <c r="N820" s="95"/>
    </row>
    <row r="821" spans="14:14" ht="15.75" customHeight="1">
      <c r="N821" s="95"/>
    </row>
    <row r="822" spans="14:14" ht="15.75" customHeight="1">
      <c r="N822" s="95"/>
    </row>
    <row r="823" spans="14:14" ht="15.75" customHeight="1">
      <c r="N823" s="95"/>
    </row>
    <row r="824" spans="14:14" ht="15.75" customHeight="1">
      <c r="N824" s="95"/>
    </row>
    <row r="825" spans="14:14" ht="15.75" customHeight="1">
      <c r="N825" s="95"/>
    </row>
    <row r="826" spans="14:14" ht="15.75" customHeight="1">
      <c r="N826" s="95"/>
    </row>
    <row r="827" spans="14:14" ht="15.75" customHeight="1">
      <c r="N827" s="95"/>
    </row>
    <row r="828" spans="14:14" ht="15.75" customHeight="1">
      <c r="N828" s="95"/>
    </row>
    <row r="829" spans="14:14" ht="15.75" customHeight="1">
      <c r="N829" s="95"/>
    </row>
    <row r="830" spans="14:14" ht="15.75" customHeight="1">
      <c r="N830" s="95"/>
    </row>
    <row r="831" spans="14:14" ht="15.75" customHeight="1">
      <c r="N831" s="95"/>
    </row>
    <row r="832" spans="14:14" ht="15.75" customHeight="1">
      <c r="N832" s="95"/>
    </row>
    <row r="833" spans="14:14" ht="15.75" customHeight="1">
      <c r="N833" s="95"/>
    </row>
    <row r="834" spans="14:14" ht="15.75" customHeight="1">
      <c r="N834" s="95"/>
    </row>
    <row r="835" spans="14:14" ht="15.75" customHeight="1">
      <c r="N835" s="95"/>
    </row>
    <row r="836" spans="14:14" ht="15.75" customHeight="1">
      <c r="N836" s="95"/>
    </row>
    <row r="837" spans="14:14" ht="15.75" customHeight="1">
      <c r="N837" s="95"/>
    </row>
    <row r="838" spans="14:14" ht="15.75" customHeight="1">
      <c r="N838" s="95"/>
    </row>
    <row r="839" spans="14:14" ht="15.75" customHeight="1">
      <c r="N839" s="95"/>
    </row>
  </sheetData>
  <mergeCells count="24">
    <mergeCell ref="X8:X9"/>
    <mergeCell ref="Y8:Y9"/>
    <mergeCell ref="T8:U8"/>
    <mergeCell ref="V8:V9"/>
    <mergeCell ref="W8:W9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A6:B6"/>
    <mergeCell ref="A7:B7"/>
    <mergeCell ref="C7:F7"/>
    <mergeCell ref="A8:A9"/>
    <mergeCell ref="B8:D8"/>
    <mergeCell ref="E8:G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859"/>
  <sheetViews>
    <sheetView topLeftCell="H3" workbookViewId="0">
      <selection activeCell="Y10" sqref="Y10:Y21"/>
    </sheetView>
  </sheetViews>
  <sheetFormatPr baseColWidth="10" defaultColWidth="14.44140625" defaultRowHeight="15" customHeight="1"/>
  <cols>
    <col min="1" max="1" width="14.88671875" customWidth="1"/>
    <col min="2" max="30" width="11.44140625" customWidth="1"/>
  </cols>
  <sheetData>
    <row r="1" spans="1:25" ht="29.4">
      <c r="A1" s="90" t="s">
        <v>96</v>
      </c>
      <c r="B1" s="35"/>
      <c r="C1" s="35"/>
      <c r="D1" s="35"/>
      <c r="E1" s="35"/>
      <c r="F1" s="35"/>
      <c r="G1" s="167" t="s">
        <v>1</v>
      </c>
      <c r="H1" s="154"/>
      <c r="I1" s="154"/>
      <c r="J1" s="154"/>
      <c r="K1" s="154"/>
      <c r="L1" s="154"/>
      <c r="M1" s="154"/>
      <c r="N1" s="154"/>
      <c r="O1" s="154"/>
      <c r="P1" s="36"/>
      <c r="Q1" s="35"/>
      <c r="R1" s="35"/>
      <c r="S1" s="35"/>
      <c r="T1" s="35"/>
      <c r="U1" s="35"/>
      <c r="V1" s="35"/>
      <c r="W1" s="35"/>
      <c r="X1" s="35"/>
      <c r="Y1" s="35"/>
    </row>
    <row r="2" spans="1:25" ht="14.4">
      <c r="A2" s="35"/>
      <c r="B2" s="35"/>
      <c r="C2" s="35"/>
      <c r="D2" s="35"/>
      <c r="E2" s="155" t="s">
        <v>2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35"/>
      <c r="U2" s="35"/>
      <c r="V2" s="35"/>
      <c r="W2" s="35"/>
      <c r="X2" s="35"/>
      <c r="Y2" s="35"/>
    </row>
    <row r="3" spans="1:25" ht="14.4">
      <c r="A3" s="35"/>
      <c r="B3" s="35"/>
      <c r="C3" s="35"/>
      <c r="D3" s="3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5"/>
      <c r="U3" s="35"/>
      <c r="V3" s="35"/>
      <c r="W3" s="35"/>
      <c r="X3" s="35"/>
      <c r="Y3" s="35"/>
    </row>
    <row r="4" spans="1:25" ht="14.4">
      <c r="A4" s="159" t="s">
        <v>3</v>
      </c>
      <c r="B4" s="131"/>
      <c r="C4" s="171" t="s">
        <v>97</v>
      </c>
      <c r="D4" s="130"/>
      <c r="E4" s="130"/>
      <c r="F4" s="13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5"/>
      <c r="U4" s="35"/>
      <c r="V4" s="35"/>
      <c r="W4" s="35"/>
      <c r="X4" s="35"/>
      <c r="Y4" s="35"/>
    </row>
    <row r="5" spans="1:25" ht="14.4">
      <c r="A5" s="159" t="s">
        <v>89</v>
      </c>
      <c r="B5" s="131"/>
      <c r="C5" s="158" t="s">
        <v>98</v>
      </c>
      <c r="D5" s="130"/>
      <c r="E5" s="130"/>
      <c r="F5" s="13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ht="14.4">
      <c r="A6" s="159" t="s">
        <v>9</v>
      </c>
      <c r="B6" s="131"/>
      <c r="C6" s="158">
        <v>2025</v>
      </c>
      <c r="D6" s="130"/>
      <c r="E6" s="130"/>
      <c r="F6" s="131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>
      <c r="A7" s="135" t="s">
        <v>10</v>
      </c>
      <c r="B7" s="136"/>
      <c r="C7" s="137" t="s">
        <v>11</v>
      </c>
      <c r="D7" s="138"/>
      <c r="E7" s="138"/>
      <c r="F7" s="139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172"/>
      <c r="S7" s="131"/>
      <c r="T7" s="35"/>
      <c r="U7" s="35"/>
      <c r="V7" s="35"/>
      <c r="W7" s="35"/>
      <c r="X7" s="35"/>
      <c r="Y7" s="35"/>
    </row>
    <row r="8" spans="1:25" ht="25.2">
      <c r="A8" s="140" t="s">
        <v>12</v>
      </c>
      <c r="B8" s="149" t="s">
        <v>13</v>
      </c>
      <c r="C8" s="143"/>
      <c r="D8" s="144"/>
      <c r="E8" s="168" t="s">
        <v>14</v>
      </c>
      <c r="F8" s="143"/>
      <c r="G8" s="143"/>
      <c r="H8" s="142" t="s">
        <v>16</v>
      </c>
      <c r="I8" s="144"/>
      <c r="J8" s="11" t="s">
        <v>17</v>
      </c>
      <c r="K8" s="142" t="s">
        <v>18</v>
      </c>
      <c r="L8" s="143"/>
      <c r="M8" s="143"/>
      <c r="N8" s="144"/>
      <c r="O8" s="145" t="s">
        <v>15</v>
      </c>
      <c r="P8" s="145" t="s">
        <v>21</v>
      </c>
      <c r="Q8" s="142" t="s">
        <v>22</v>
      </c>
      <c r="R8" s="144"/>
      <c r="S8" s="145" t="s">
        <v>23</v>
      </c>
      <c r="T8" s="142" t="s">
        <v>24</v>
      </c>
      <c r="U8" s="144"/>
      <c r="V8" s="145" t="s">
        <v>25</v>
      </c>
      <c r="W8" s="145" t="s">
        <v>8</v>
      </c>
      <c r="X8" s="145" t="s">
        <v>26</v>
      </c>
      <c r="Y8" s="145" t="s">
        <v>27</v>
      </c>
    </row>
    <row r="9" spans="1:25" ht="50.4">
      <c r="A9" s="141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90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46"/>
      <c r="P9" s="146"/>
      <c r="Q9" s="11" t="s">
        <v>91</v>
      </c>
      <c r="R9" s="11" t="s">
        <v>43</v>
      </c>
      <c r="S9" s="146"/>
      <c r="T9" s="11" t="s">
        <v>44</v>
      </c>
      <c r="U9" s="11" t="s">
        <v>45</v>
      </c>
      <c r="V9" s="146"/>
      <c r="W9" s="146"/>
      <c r="X9" s="146"/>
      <c r="Y9" s="146"/>
    </row>
    <row r="10" spans="1:25" ht="14.4">
      <c r="A10" s="20" t="s">
        <v>46</v>
      </c>
      <c r="B10" s="81"/>
      <c r="C10" s="81"/>
      <c r="D10" s="81"/>
      <c r="E10" s="81"/>
      <c r="F10" s="81"/>
      <c r="G10" s="81"/>
      <c r="H10" s="81"/>
      <c r="I10" s="81"/>
      <c r="J10" s="81"/>
      <c r="K10" s="83"/>
      <c r="L10" s="81"/>
      <c r="M10" s="81"/>
      <c r="N10" s="83"/>
      <c r="O10" s="81"/>
      <c r="P10" s="81"/>
      <c r="Q10" s="81"/>
      <c r="R10" s="73"/>
      <c r="S10" s="96"/>
      <c r="T10" s="81"/>
      <c r="U10" s="81"/>
      <c r="V10" s="96"/>
      <c r="W10" s="96"/>
      <c r="X10" s="96"/>
      <c r="Y10" s="120">
        <f>SUM(B10:X10)</f>
        <v>0</v>
      </c>
    </row>
    <row r="11" spans="1:25" ht="14.4">
      <c r="A11" s="24" t="s">
        <v>47</v>
      </c>
      <c r="B11" s="71">
        <v>0</v>
      </c>
      <c r="C11" s="71">
        <v>0</v>
      </c>
      <c r="D11" s="71">
        <v>0</v>
      </c>
      <c r="E11" s="71">
        <v>7</v>
      </c>
      <c r="F11" s="71">
        <v>0</v>
      </c>
      <c r="G11" s="71">
        <v>4</v>
      </c>
      <c r="H11" s="71">
        <v>187</v>
      </c>
      <c r="I11" s="71">
        <v>92</v>
      </c>
      <c r="J11" s="75">
        <v>0</v>
      </c>
      <c r="K11" s="72">
        <v>38</v>
      </c>
      <c r="L11" s="71">
        <v>0</v>
      </c>
      <c r="M11" s="71">
        <v>0</v>
      </c>
      <c r="N11" s="72">
        <v>0</v>
      </c>
      <c r="O11" s="71">
        <v>0</v>
      </c>
      <c r="P11" s="71">
        <v>1</v>
      </c>
      <c r="Q11" s="71">
        <v>1</v>
      </c>
      <c r="R11" s="73">
        <v>119</v>
      </c>
      <c r="S11" s="75">
        <v>0</v>
      </c>
      <c r="T11" s="71">
        <v>8</v>
      </c>
      <c r="U11" s="71">
        <v>16</v>
      </c>
      <c r="V11" s="76">
        <v>38</v>
      </c>
      <c r="W11" s="76">
        <v>1</v>
      </c>
      <c r="X11" s="76">
        <v>1</v>
      </c>
      <c r="Y11" s="120">
        <f t="shared" ref="Y11:Y21" si="0">SUM(B11:X11)</f>
        <v>513</v>
      </c>
    </row>
    <row r="12" spans="1:25" ht="14.4">
      <c r="A12" s="24" t="s">
        <v>48</v>
      </c>
      <c r="B12" s="71">
        <v>0</v>
      </c>
      <c r="C12" s="71">
        <v>0</v>
      </c>
      <c r="D12" s="71">
        <v>0</v>
      </c>
      <c r="E12" s="71">
        <v>7</v>
      </c>
      <c r="F12" s="71">
        <v>5</v>
      </c>
      <c r="G12" s="71">
        <v>9</v>
      </c>
      <c r="H12" s="71">
        <v>339</v>
      </c>
      <c r="I12" s="71">
        <v>155</v>
      </c>
      <c r="J12" s="77">
        <v>3</v>
      </c>
      <c r="K12" s="72">
        <v>28</v>
      </c>
      <c r="L12" s="71">
        <v>2</v>
      </c>
      <c r="M12" s="71">
        <v>5</v>
      </c>
      <c r="N12" s="72">
        <v>1</v>
      </c>
      <c r="O12" s="77">
        <v>2</v>
      </c>
      <c r="P12" s="77">
        <v>0</v>
      </c>
      <c r="Q12" s="71">
        <v>7</v>
      </c>
      <c r="R12" s="73">
        <v>356</v>
      </c>
      <c r="S12" s="78">
        <v>0</v>
      </c>
      <c r="T12" s="71">
        <v>8</v>
      </c>
      <c r="U12" s="71">
        <v>6</v>
      </c>
      <c r="V12" s="79">
        <v>217</v>
      </c>
      <c r="W12" s="79">
        <v>3</v>
      </c>
      <c r="X12" s="79">
        <v>7</v>
      </c>
      <c r="Y12" s="120">
        <f t="shared" si="0"/>
        <v>1160</v>
      </c>
    </row>
    <row r="13" spans="1:25" ht="14.4">
      <c r="A13" s="24" t="s">
        <v>49</v>
      </c>
      <c r="B13" s="71">
        <v>0</v>
      </c>
      <c r="C13" s="71">
        <v>0</v>
      </c>
      <c r="D13" s="71">
        <v>0</v>
      </c>
      <c r="E13" s="71">
        <v>9</v>
      </c>
      <c r="F13" s="71">
        <v>2</v>
      </c>
      <c r="G13" s="71">
        <v>10</v>
      </c>
      <c r="H13" s="71">
        <v>363</v>
      </c>
      <c r="I13" s="71">
        <v>105</v>
      </c>
      <c r="J13" s="77">
        <v>7</v>
      </c>
      <c r="K13" s="72">
        <v>29</v>
      </c>
      <c r="L13" s="71">
        <v>1</v>
      </c>
      <c r="M13" s="71">
        <v>34</v>
      </c>
      <c r="N13" s="72">
        <v>1</v>
      </c>
      <c r="O13" s="80">
        <v>2</v>
      </c>
      <c r="P13" s="80">
        <v>0</v>
      </c>
      <c r="Q13" s="71">
        <v>11</v>
      </c>
      <c r="R13" s="73">
        <v>626</v>
      </c>
      <c r="S13" s="78">
        <v>0</v>
      </c>
      <c r="T13" s="71">
        <v>12</v>
      </c>
      <c r="U13" s="71">
        <v>8</v>
      </c>
      <c r="V13" s="79">
        <v>302</v>
      </c>
      <c r="W13" s="79">
        <v>8</v>
      </c>
      <c r="X13" s="79">
        <v>12</v>
      </c>
      <c r="Y13" s="120">
        <f t="shared" si="0"/>
        <v>1542</v>
      </c>
    </row>
    <row r="14" spans="1:25" ht="14.4">
      <c r="A14" s="24" t="s">
        <v>50</v>
      </c>
      <c r="B14" s="81"/>
      <c r="C14" s="81"/>
      <c r="D14" s="81"/>
      <c r="E14" s="81"/>
      <c r="F14" s="81"/>
      <c r="G14" s="81"/>
      <c r="H14" s="81"/>
      <c r="I14" s="81"/>
      <c r="J14" s="82"/>
      <c r="K14" s="83"/>
      <c r="L14" s="81"/>
      <c r="M14" s="81"/>
      <c r="N14" s="83"/>
      <c r="O14" s="82"/>
      <c r="P14" s="82"/>
      <c r="Q14" s="81"/>
      <c r="R14" s="73"/>
      <c r="S14" s="82"/>
      <c r="T14" s="81"/>
      <c r="U14" s="81"/>
      <c r="V14" s="82"/>
      <c r="W14" s="82"/>
      <c r="X14" s="82"/>
      <c r="Y14" s="120">
        <f t="shared" si="0"/>
        <v>0</v>
      </c>
    </row>
    <row r="15" spans="1:25" ht="14.4">
      <c r="A15" s="24" t="s">
        <v>51</v>
      </c>
      <c r="B15" s="81"/>
      <c r="C15" s="81"/>
      <c r="D15" s="81"/>
      <c r="E15" s="81"/>
      <c r="F15" s="81"/>
      <c r="G15" s="81"/>
      <c r="H15" s="81"/>
      <c r="I15" s="81"/>
      <c r="J15" s="84"/>
      <c r="K15" s="83"/>
      <c r="L15" s="81"/>
      <c r="M15" s="81"/>
      <c r="N15" s="83"/>
      <c r="O15" s="84"/>
      <c r="P15" s="84"/>
      <c r="Q15" s="81"/>
      <c r="R15" s="73"/>
      <c r="S15" s="85"/>
      <c r="T15" s="81"/>
      <c r="U15" s="81"/>
      <c r="V15" s="86"/>
      <c r="W15" s="86"/>
      <c r="X15" s="86"/>
      <c r="Y15" s="120">
        <f t="shared" si="0"/>
        <v>0</v>
      </c>
    </row>
    <row r="16" spans="1:25" ht="15.75" customHeight="1">
      <c r="A16" s="24" t="s">
        <v>52</v>
      </c>
      <c r="B16" s="81"/>
      <c r="C16" s="81"/>
      <c r="D16" s="81"/>
      <c r="E16" s="81"/>
      <c r="F16" s="81"/>
      <c r="G16" s="81"/>
      <c r="H16" s="81"/>
      <c r="I16" s="81"/>
      <c r="J16" s="84"/>
      <c r="K16" s="83"/>
      <c r="L16" s="81"/>
      <c r="M16" s="81"/>
      <c r="N16" s="83"/>
      <c r="O16" s="84"/>
      <c r="P16" s="84"/>
      <c r="Q16" s="81"/>
      <c r="R16" s="73"/>
      <c r="S16" s="85"/>
      <c r="T16" s="81"/>
      <c r="U16" s="81"/>
      <c r="V16" s="86"/>
      <c r="W16" s="86"/>
      <c r="X16" s="86"/>
      <c r="Y16" s="120">
        <f t="shared" si="0"/>
        <v>0</v>
      </c>
    </row>
    <row r="17" spans="1:25" ht="15.75" customHeight="1">
      <c r="A17" s="24" t="s">
        <v>53</v>
      </c>
      <c r="B17" s="81"/>
      <c r="C17" s="81"/>
      <c r="D17" s="81"/>
      <c r="E17" s="81"/>
      <c r="F17" s="81"/>
      <c r="G17" s="81"/>
      <c r="H17" s="81"/>
      <c r="I17" s="81"/>
      <c r="J17" s="84"/>
      <c r="K17" s="83"/>
      <c r="L17" s="81"/>
      <c r="M17" s="81"/>
      <c r="N17" s="83"/>
      <c r="O17" s="84"/>
      <c r="P17" s="84"/>
      <c r="Q17" s="81"/>
      <c r="R17" s="73"/>
      <c r="S17" s="85"/>
      <c r="T17" s="81"/>
      <c r="U17" s="81"/>
      <c r="V17" s="86"/>
      <c r="W17" s="86"/>
      <c r="X17" s="86"/>
      <c r="Y17" s="120">
        <f t="shared" si="0"/>
        <v>0</v>
      </c>
    </row>
    <row r="18" spans="1:25" ht="27.75" customHeight="1">
      <c r="A18" s="24" t="s">
        <v>54</v>
      </c>
      <c r="B18" s="81"/>
      <c r="C18" s="81"/>
      <c r="D18" s="81"/>
      <c r="E18" s="81"/>
      <c r="F18" s="81"/>
      <c r="G18" s="81"/>
      <c r="H18" s="81"/>
      <c r="I18" s="81"/>
      <c r="J18" s="87"/>
      <c r="K18" s="83"/>
      <c r="L18" s="81"/>
      <c r="M18" s="81"/>
      <c r="N18" s="83"/>
      <c r="O18" s="84"/>
      <c r="P18" s="84"/>
      <c r="Q18" s="81"/>
      <c r="R18" s="73"/>
      <c r="S18" s="85"/>
      <c r="T18" s="81"/>
      <c r="U18" s="81"/>
      <c r="V18" s="86"/>
      <c r="W18" s="86"/>
      <c r="X18" s="86"/>
      <c r="Y18" s="120">
        <f t="shared" si="0"/>
        <v>0</v>
      </c>
    </row>
    <row r="19" spans="1:25" ht="15.75" customHeight="1">
      <c r="A19" s="24" t="s">
        <v>55</v>
      </c>
      <c r="B19" s="71"/>
      <c r="C19" s="71"/>
      <c r="D19" s="71"/>
      <c r="E19" s="71"/>
      <c r="F19" s="71"/>
      <c r="G19" s="71"/>
      <c r="H19" s="71"/>
      <c r="I19" s="71"/>
      <c r="J19" s="88"/>
      <c r="K19" s="72"/>
      <c r="L19" s="71"/>
      <c r="M19" s="71"/>
      <c r="N19" s="72"/>
      <c r="O19" s="77"/>
      <c r="P19" s="77"/>
      <c r="Q19" s="71"/>
      <c r="R19" s="73"/>
      <c r="S19" s="78"/>
      <c r="T19" s="71"/>
      <c r="U19" s="71"/>
      <c r="V19" s="79"/>
      <c r="W19" s="79"/>
      <c r="X19" s="79"/>
      <c r="Y19" s="120">
        <f t="shared" si="0"/>
        <v>0</v>
      </c>
    </row>
    <row r="20" spans="1:25" ht="27.75" customHeight="1">
      <c r="A20" s="24" t="s">
        <v>56</v>
      </c>
      <c r="B20" s="71"/>
      <c r="C20" s="71"/>
      <c r="D20" s="71"/>
      <c r="E20" s="71"/>
      <c r="F20" s="71"/>
      <c r="G20" s="71"/>
      <c r="H20" s="71"/>
      <c r="I20" s="71"/>
      <c r="J20" s="88"/>
      <c r="K20" s="72"/>
      <c r="L20" s="71"/>
      <c r="M20" s="71"/>
      <c r="N20" s="72"/>
      <c r="O20" s="77"/>
      <c r="P20" s="77"/>
      <c r="Q20" s="71"/>
      <c r="R20" s="73"/>
      <c r="S20" s="78"/>
      <c r="T20" s="71"/>
      <c r="U20" s="71"/>
      <c r="V20" s="79"/>
      <c r="W20" s="79"/>
      <c r="X20" s="79"/>
      <c r="Y20" s="120">
        <f t="shared" si="0"/>
        <v>0</v>
      </c>
    </row>
    <row r="21" spans="1:25" ht="15.75" customHeight="1">
      <c r="A21" s="24" t="s">
        <v>57</v>
      </c>
      <c r="B21" s="81"/>
      <c r="C21" s="81"/>
      <c r="D21" s="81"/>
      <c r="E21" s="71"/>
      <c r="F21" s="71"/>
      <c r="G21" s="71"/>
      <c r="H21" s="71"/>
      <c r="I21" s="71"/>
      <c r="J21" s="88"/>
      <c r="K21" s="72"/>
      <c r="L21" s="71"/>
      <c r="M21" s="71"/>
      <c r="N21" s="72"/>
      <c r="O21" s="77"/>
      <c r="P21" s="77"/>
      <c r="Q21" s="71"/>
      <c r="R21" s="73"/>
      <c r="S21" s="78"/>
      <c r="T21" s="71"/>
      <c r="U21" s="71"/>
      <c r="V21" s="79"/>
      <c r="W21" s="79"/>
      <c r="X21" s="79"/>
      <c r="Y21" s="120">
        <f t="shared" si="0"/>
        <v>0</v>
      </c>
    </row>
    <row r="22" spans="1:25" ht="15.75" customHeight="1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89"/>
    </row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</sheetData>
  <mergeCells count="25">
    <mergeCell ref="A7:B7"/>
    <mergeCell ref="C7:F7"/>
    <mergeCell ref="A8:A9"/>
    <mergeCell ref="B8:D8"/>
    <mergeCell ref="E8:G8"/>
    <mergeCell ref="A4:B4"/>
    <mergeCell ref="C4:F4"/>
    <mergeCell ref="A5:B5"/>
    <mergeCell ref="C5:F5"/>
    <mergeCell ref="C6:F6"/>
    <mergeCell ref="A6:B6"/>
    <mergeCell ref="V8:V9"/>
    <mergeCell ref="W8:W9"/>
    <mergeCell ref="X8:X9"/>
    <mergeCell ref="Y8:Y9"/>
    <mergeCell ref="G1:O1"/>
    <mergeCell ref="E2:S2"/>
    <mergeCell ref="R7:S7"/>
    <mergeCell ref="K8:N8"/>
    <mergeCell ref="O8:O9"/>
    <mergeCell ref="P8:P9"/>
    <mergeCell ref="Q8:R8"/>
    <mergeCell ref="S8:S9"/>
    <mergeCell ref="T8:U8"/>
    <mergeCell ref="H8:I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875"/>
  <sheetViews>
    <sheetView topLeftCell="H9" workbookViewId="0">
      <selection activeCell="Y10" sqref="Y10:Y21"/>
    </sheetView>
  </sheetViews>
  <sheetFormatPr baseColWidth="10" defaultColWidth="14.44140625" defaultRowHeight="15" customHeight="1"/>
  <cols>
    <col min="1" max="1" width="15.33203125" customWidth="1"/>
    <col min="2" max="30" width="11.44140625" customWidth="1"/>
  </cols>
  <sheetData>
    <row r="1" spans="1:25" ht="29.4">
      <c r="A1" s="35" t="s">
        <v>75</v>
      </c>
      <c r="B1" s="35"/>
      <c r="C1" s="35"/>
      <c r="D1" s="35"/>
      <c r="E1" s="35"/>
      <c r="F1" s="35"/>
      <c r="G1" s="167" t="s">
        <v>1</v>
      </c>
      <c r="H1" s="154"/>
      <c r="I1" s="154"/>
      <c r="J1" s="154"/>
      <c r="K1" s="154"/>
      <c r="L1" s="154"/>
      <c r="M1" s="154"/>
      <c r="N1" s="154"/>
      <c r="O1" s="154"/>
      <c r="P1" s="36"/>
      <c r="Q1" s="35"/>
      <c r="R1" s="35"/>
      <c r="S1" s="35"/>
      <c r="T1" s="35"/>
      <c r="U1" s="35"/>
      <c r="V1" s="35"/>
      <c r="W1" s="35"/>
      <c r="X1" s="35"/>
      <c r="Y1" s="35"/>
    </row>
    <row r="2" spans="1:25" ht="14.4">
      <c r="A2" s="35"/>
      <c r="B2" s="35"/>
      <c r="C2" s="35"/>
      <c r="D2" s="35"/>
      <c r="E2" s="155" t="s">
        <v>2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35"/>
      <c r="U2" s="35"/>
      <c r="V2" s="35"/>
      <c r="W2" s="35"/>
      <c r="X2" s="35"/>
      <c r="Y2" s="35"/>
    </row>
    <row r="3" spans="1:25" ht="14.4">
      <c r="A3" s="35"/>
      <c r="B3" s="35"/>
      <c r="C3" s="35"/>
      <c r="D3" s="3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5"/>
      <c r="U3" s="35"/>
      <c r="V3" s="35"/>
      <c r="W3" s="35"/>
      <c r="X3" s="35"/>
      <c r="Y3" s="35"/>
    </row>
    <row r="4" spans="1:25" ht="14.4">
      <c r="A4" s="159" t="s">
        <v>3</v>
      </c>
      <c r="B4" s="131"/>
      <c r="C4" s="157" t="s">
        <v>99</v>
      </c>
      <c r="D4" s="130"/>
      <c r="E4" s="130"/>
      <c r="F4" s="13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5"/>
      <c r="U4" s="35"/>
      <c r="V4" s="35"/>
      <c r="W4" s="35"/>
      <c r="X4" s="35"/>
      <c r="Y4" s="35"/>
    </row>
    <row r="5" spans="1:25" ht="14.4">
      <c r="A5" s="159" t="s">
        <v>89</v>
      </c>
      <c r="B5" s="131"/>
      <c r="C5" s="158" t="s">
        <v>100</v>
      </c>
      <c r="D5" s="130"/>
      <c r="E5" s="130"/>
      <c r="F5" s="13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ht="14.4">
      <c r="A6" s="159" t="s">
        <v>9</v>
      </c>
      <c r="B6" s="131"/>
      <c r="C6" s="158">
        <v>2025</v>
      </c>
      <c r="D6" s="130"/>
      <c r="E6" s="130"/>
      <c r="F6" s="131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 ht="14.4">
      <c r="A7" s="135" t="s">
        <v>10</v>
      </c>
      <c r="B7" s="136"/>
      <c r="C7" s="137" t="s">
        <v>11</v>
      </c>
      <c r="D7" s="138"/>
      <c r="E7" s="138"/>
      <c r="F7" s="139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5" ht="25.2">
      <c r="A8" s="140" t="s">
        <v>12</v>
      </c>
      <c r="B8" s="149" t="s">
        <v>13</v>
      </c>
      <c r="C8" s="143"/>
      <c r="D8" s="144"/>
      <c r="E8" s="168" t="s">
        <v>14</v>
      </c>
      <c r="F8" s="143"/>
      <c r="G8" s="143"/>
      <c r="H8" s="142" t="s">
        <v>16</v>
      </c>
      <c r="I8" s="144"/>
      <c r="J8" s="11" t="s">
        <v>17</v>
      </c>
      <c r="K8" s="142" t="s">
        <v>18</v>
      </c>
      <c r="L8" s="143"/>
      <c r="M8" s="143"/>
      <c r="N8" s="144"/>
      <c r="O8" s="145" t="s">
        <v>15</v>
      </c>
      <c r="P8" s="145" t="s">
        <v>21</v>
      </c>
      <c r="Q8" s="142" t="s">
        <v>22</v>
      </c>
      <c r="R8" s="144"/>
      <c r="S8" s="145" t="s">
        <v>23</v>
      </c>
      <c r="T8" s="142" t="s">
        <v>24</v>
      </c>
      <c r="U8" s="144"/>
      <c r="V8" s="145" t="s">
        <v>25</v>
      </c>
      <c r="W8" s="145" t="s">
        <v>8</v>
      </c>
      <c r="X8" s="145" t="s">
        <v>26</v>
      </c>
      <c r="Y8" s="145" t="s">
        <v>27</v>
      </c>
    </row>
    <row r="9" spans="1:25" ht="50.4">
      <c r="A9" s="141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90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46"/>
      <c r="P9" s="146"/>
      <c r="Q9" s="11" t="s">
        <v>91</v>
      </c>
      <c r="R9" s="11" t="s">
        <v>43</v>
      </c>
      <c r="S9" s="146"/>
      <c r="T9" s="11" t="s">
        <v>44</v>
      </c>
      <c r="U9" s="11" t="s">
        <v>45</v>
      </c>
      <c r="V9" s="146"/>
      <c r="W9" s="146"/>
      <c r="X9" s="146"/>
      <c r="Y9" s="146"/>
    </row>
    <row r="10" spans="1:25" ht="14.4">
      <c r="A10" s="20" t="s">
        <v>46</v>
      </c>
      <c r="B10" s="71">
        <v>0</v>
      </c>
      <c r="C10" s="71">
        <v>0</v>
      </c>
      <c r="D10" s="71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2">
        <v>0</v>
      </c>
      <c r="L10" s="71">
        <v>0</v>
      </c>
      <c r="M10" s="71">
        <v>0</v>
      </c>
      <c r="N10" s="72">
        <v>0</v>
      </c>
      <c r="O10" s="71">
        <v>0</v>
      </c>
      <c r="P10" s="71">
        <v>0</v>
      </c>
      <c r="Q10" s="71">
        <v>0</v>
      </c>
      <c r="R10" s="73">
        <v>0</v>
      </c>
      <c r="S10" s="74">
        <v>0</v>
      </c>
      <c r="T10" s="71">
        <v>0</v>
      </c>
      <c r="U10" s="71">
        <v>0</v>
      </c>
      <c r="V10" s="74">
        <v>0</v>
      </c>
      <c r="W10" s="74">
        <v>0</v>
      </c>
      <c r="X10" s="74">
        <v>0</v>
      </c>
      <c r="Y10" s="120">
        <f>SUM(B10:X10)</f>
        <v>0</v>
      </c>
    </row>
    <row r="11" spans="1:25" ht="14.4">
      <c r="A11" s="24" t="s">
        <v>47</v>
      </c>
      <c r="B11" s="71">
        <v>0</v>
      </c>
      <c r="C11" s="71">
        <v>0</v>
      </c>
      <c r="D11" s="71">
        <v>0</v>
      </c>
      <c r="E11" s="71">
        <v>5</v>
      </c>
      <c r="F11" s="71">
        <v>6</v>
      </c>
      <c r="G11" s="71">
        <v>14</v>
      </c>
      <c r="H11" s="71">
        <v>197</v>
      </c>
      <c r="I11" s="71">
        <v>62</v>
      </c>
      <c r="J11" s="75">
        <v>1</v>
      </c>
      <c r="K11" s="72">
        <v>34</v>
      </c>
      <c r="L11" s="71">
        <v>6</v>
      </c>
      <c r="M11" s="71">
        <v>1</v>
      </c>
      <c r="N11" s="72">
        <v>2</v>
      </c>
      <c r="O11" s="71">
        <v>5</v>
      </c>
      <c r="P11" s="71">
        <v>5</v>
      </c>
      <c r="Q11" s="71">
        <v>8</v>
      </c>
      <c r="R11" s="73">
        <v>265</v>
      </c>
      <c r="S11" s="75">
        <v>1</v>
      </c>
      <c r="T11" s="71">
        <v>11</v>
      </c>
      <c r="U11" s="71">
        <v>7</v>
      </c>
      <c r="V11" s="76">
        <v>75</v>
      </c>
      <c r="W11" s="76">
        <v>4</v>
      </c>
      <c r="X11" s="76">
        <v>8</v>
      </c>
      <c r="Y11" s="120">
        <f t="shared" ref="Y11:Y21" si="0">SUM(B11:X11)</f>
        <v>717</v>
      </c>
    </row>
    <row r="12" spans="1:25" ht="14.4">
      <c r="A12" s="24" t="s">
        <v>48</v>
      </c>
      <c r="B12" s="71">
        <v>0</v>
      </c>
      <c r="C12" s="71">
        <v>0</v>
      </c>
      <c r="D12" s="71">
        <v>0</v>
      </c>
      <c r="E12" s="71">
        <v>10</v>
      </c>
      <c r="F12" s="71">
        <v>4</v>
      </c>
      <c r="G12" s="71">
        <v>19</v>
      </c>
      <c r="H12" s="71">
        <v>309</v>
      </c>
      <c r="I12" s="71">
        <v>168</v>
      </c>
      <c r="J12" s="77">
        <v>2</v>
      </c>
      <c r="K12" s="72">
        <v>105</v>
      </c>
      <c r="L12" s="71">
        <v>11</v>
      </c>
      <c r="M12" s="71">
        <v>74</v>
      </c>
      <c r="N12" s="72">
        <v>2</v>
      </c>
      <c r="O12" s="77">
        <v>3</v>
      </c>
      <c r="P12" s="77">
        <v>31</v>
      </c>
      <c r="Q12" s="71">
        <v>22</v>
      </c>
      <c r="R12" s="73">
        <v>553</v>
      </c>
      <c r="S12" s="78">
        <v>0</v>
      </c>
      <c r="T12" s="71">
        <v>3</v>
      </c>
      <c r="U12" s="71">
        <v>13</v>
      </c>
      <c r="V12" s="79">
        <v>520</v>
      </c>
      <c r="W12" s="79">
        <v>0</v>
      </c>
      <c r="X12" s="79">
        <v>18</v>
      </c>
      <c r="Y12" s="120">
        <f t="shared" si="0"/>
        <v>1867</v>
      </c>
    </row>
    <row r="13" spans="1:25" ht="14.4">
      <c r="A13" s="24" t="s">
        <v>49</v>
      </c>
      <c r="B13" s="71">
        <v>0</v>
      </c>
      <c r="C13" s="71">
        <v>0</v>
      </c>
      <c r="D13" s="71">
        <v>0</v>
      </c>
      <c r="E13" s="71">
        <v>14</v>
      </c>
      <c r="F13" s="71">
        <v>8</v>
      </c>
      <c r="G13" s="71">
        <v>16</v>
      </c>
      <c r="H13" s="71">
        <v>358</v>
      </c>
      <c r="I13" s="71">
        <v>293</v>
      </c>
      <c r="J13" s="77">
        <v>8</v>
      </c>
      <c r="K13" s="72">
        <v>74</v>
      </c>
      <c r="L13" s="71">
        <v>13</v>
      </c>
      <c r="M13" s="71">
        <v>75</v>
      </c>
      <c r="N13" s="72">
        <v>20</v>
      </c>
      <c r="O13" s="80">
        <v>6</v>
      </c>
      <c r="P13" s="80">
        <v>15</v>
      </c>
      <c r="Q13" s="71">
        <v>30</v>
      </c>
      <c r="R13" s="73">
        <v>776</v>
      </c>
      <c r="S13" s="78">
        <v>0</v>
      </c>
      <c r="T13" s="71">
        <v>8</v>
      </c>
      <c r="U13" s="71">
        <v>4</v>
      </c>
      <c r="V13" s="79">
        <v>408</v>
      </c>
      <c r="W13" s="79">
        <v>47</v>
      </c>
      <c r="X13" s="79">
        <v>10</v>
      </c>
      <c r="Y13" s="120">
        <f t="shared" si="0"/>
        <v>2183</v>
      </c>
    </row>
    <row r="14" spans="1:25" ht="14.4">
      <c r="A14" s="24" t="s">
        <v>50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120">
        <f t="shared" si="0"/>
        <v>0</v>
      </c>
    </row>
    <row r="15" spans="1:25" ht="14.4">
      <c r="A15" s="24" t="s">
        <v>51</v>
      </c>
      <c r="B15" s="81"/>
      <c r="C15" s="81"/>
      <c r="D15" s="81"/>
      <c r="E15" s="81"/>
      <c r="F15" s="81"/>
      <c r="G15" s="81"/>
      <c r="H15" s="81"/>
      <c r="I15" s="81"/>
      <c r="J15" s="84"/>
      <c r="K15" s="83"/>
      <c r="L15" s="81"/>
      <c r="M15" s="81"/>
      <c r="N15" s="83"/>
      <c r="O15" s="84"/>
      <c r="P15" s="84"/>
      <c r="Q15" s="81"/>
      <c r="R15" s="73"/>
      <c r="S15" s="85"/>
      <c r="T15" s="81"/>
      <c r="U15" s="81"/>
      <c r="V15" s="86"/>
      <c r="W15" s="86"/>
      <c r="X15" s="86"/>
      <c r="Y15" s="120">
        <f t="shared" si="0"/>
        <v>0</v>
      </c>
    </row>
    <row r="16" spans="1:25" ht="15.75" customHeight="1">
      <c r="A16" s="24" t="s">
        <v>52</v>
      </c>
      <c r="B16" s="81"/>
      <c r="C16" s="81"/>
      <c r="D16" s="81"/>
      <c r="E16" s="81"/>
      <c r="F16" s="81"/>
      <c r="G16" s="81"/>
      <c r="H16" s="81"/>
      <c r="I16" s="81"/>
      <c r="J16" s="84"/>
      <c r="K16" s="83"/>
      <c r="L16" s="81"/>
      <c r="M16" s="81"/>
      <c r="N16" s="83"/>
      <c r="O16" s="84"/>
      <c r="P16" s="84"/>
      <c r="Q16" s="81"/>
      <c r="R16" s="73"/>
      <c r="S16" s="85"/>
      <c r="T16" s="81"/>
      <c r="U16" s="81"/>
      <c r="V16" s="86"/>
      <c r="W16" s="86"/>
      <c r="X16" s="86"/>
      <c r="Y16" s="120">
        <f t="shared" si="0"/>
        <v>0</v>
      </c>
    </row>
    <row r="17" spans="1:25" ht="15.75" customHeight="1">
      <c r="A17" s="24" t="s">
        <v>53</v>
      </c>
      <c r="B17" s="81"/>
      <c r="C17" s="81"/>
      <c r="D17" s="81"/>
      <c r="E17" s="81"/>
      <c r="F17" s="81"/>
      <c r="G17" s="81"/>
      <c r="H17" s="81"/>
      <c r="I17" s="81"/>
      <c r="J17" s="84"/>
      <c r="K17" s="83"/>
      <c r="L17" s="81"/>
      <c r="M17" s="81"/>
      <c r="N17" s="83"/>
      <c r="O17" s="84"/>
      <c r="P17" s="84"/>
      <c r="Q17" s="81"/>
      <c r="R17" s="73"/>
      <c r="S17" s="85"/>
      <c r="T17" s="81"/>
      <c r="U17" s="81"/>
      <c r="V17" s="86"/>
      <c r="W17" s="86"/>
      <c r="X17" s="86"/>
      <c r="Y17" s="120">
        <f t="shared" si="0"/>
        <v>0</v>
      </c>
    </row>
    <row r="18" spans="1:25" ht="27.75" customHeight="1">
      <c r="A18" s="24" t="s">
        <v>54</v>
      </c>
      <c r="B18" s="81"/>
      <c r="C18" s="81"/>
      <c r="D18" s="81"/>
      <c r="E18" s="81"/>
      <c r="F18" s="81"/>
      <c r="G18" s="81"/>
      <c r="H18" s="81"/>
      <c r="I18" s="81"/>
      <c r="J18" s="87"/>
      <c r="K18" s="83"/>
      <c r="L18" s="81"/>
      <c r="M18" s="81"/>
      <c r="N18" s="83"/>
      <c r="O18" s="84"/>
      <c r="P18" s="84"/>
      <c r="Q18" s="81"/>
      <c r="R18" s="73"/>
      <c r="S18" s="85"/>
      <c r="T18" s="81"/>
      <c r="U18" s="81"/>
      <c r="V18" s="86"/>
      <c r="W18" s="86"/>
      <c r="X18" s="86"/>
      <c r="Y18" s="120">
        <f t="shared" si="0"/>
        <v>0</v>
      </c>
    </row>
    <row r="19" spans="1:25" ht="15.75" customHeight="1">
      <c r="A19" s="24" t="s">
        <v>55</v>
      </c>
      <c r="B19" s="71"/>
      <c r="C19" s="71"/>
      <c r="D19" s="71"/>
      <c r="E19" s="71"/>
      <c r="F19" s="71"/>
      <c r="G19" s="71"/>
      <c r="H19" s="71"/>
      <c r="I19" s="71"/>
      <c r="J19" s="88"/>
      <c r="K19" s="72"/>
      <c r="L19" s="71"/>
      <c r="M19" s="71"/>
      <c r="N19" s="72"/>
      <c r="O19" s="77"/>
      <c r="P19" s="77"/>
      <c r="Q19" s="71"/>
      <c r="R19" s="73"/>
      <c r="S19" s="78"/>
      <c r="T19" s="71"/>
      <c r="U19" s="71"/>
      <c r="V19" s="79"/>
      <c r="W19" s="79"/>
      <c r="X19" s="79"/>
      <c r="Y19" s="120">
        <f t="shared" si="0"/>
        <v>0</v>
      </c>
    </row>
    <row r="20" spans="1:25" ht="15.75" customHeight="1">
      <c r="A20" s="24" t="s">
        <v>56</v>
      </c>
      <c r="B20" s="71"/>
      <c r="C20" s="71"/>
      <c r="D20" s="71"/>
      <c r="E20" s="71"/>
      <c r="F20" s="71"/>
      <c r="G20" s="71"/>
      <c r="H20" s="71"/>
      <c r="I20" s="71"/>
      <c r="J20" s="88"/>
      <c r="K20" s="72"/>
      <c r="L20" s="71"/>
      <c r="M20" s="71"/>
      <c r="N20" s="72"/>
      <c r="O20" s="77"/>
      <c r="P20" s="77"/>
      <c r="Q20" s="71"/>
      <c r="R20" s="73"/>
      <c r="S20" s="78"/>
      <c r="T20" s="71"/>
      <c r="U20" s="71"/>
      <c r="V20" s="79"/>
      <c r="W20" s="79"/>
      <c r="X20" s="79"/>
      <c r="Y20" s="120">
        <f t="shared" si="0"/>
        <v>0</v>
      </c>
    </row>
    <row r="21" spans="1:25" ht="15.75" customHeight="1">
      <c r="A21" s="24" t="s">
        <v>57</v>
      </c>
      <c r="B21" s="81"/>
      <c r="C21" s="81"/>
      <c r="D21" s="81"/>
      <c r="E21" s="71"/>
      <c r="F21" s="71"/>
      <c r="G21" s="71"/>
      <c r="H21" s="71"/>
      <c r="I21" s="71"/>
      <c r="J21" s="88"/>
      <c r="K21" s="72"/>
      <c r="L21" s="71"/>
      <c r="M21" s="71"/>
      <c r="N21" s="72"/>
      <c r="O21" s="77"/>
      <c r="P21" s="77"/>
      <c r="Q21" s="71"/>
      <c r="R21" s="73"/>
      <c r="S21" s="78"/>
      <c r="T21" s="71"/>
      <c r="U21" s="71"/>
      <c r="V21" s="79"/>
      <c r="W21" s="79"/>
      <c r="X21" s="79"/>
      <c r="Y21" s="120">
        <f t="shared" si="0"/>
        <v>0</v>
      </c>
    </row>
    <row r="22" spans="1:25" ht="15.75" customHeight="1"/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</sheetData>
  <mergeCells count="24">
    <mergeCell ref="X8:X9"/>
    <mergeCell ref="Y8:Y9"/>
    <mergeCell ref="T8:U8"/>
    <mergeCell ref="V8:V9"/>
    <mergeCell ref="W8:W9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A6:B6"/>
    <mergeCell ref="A7:B7"/>
    <mergeCell ref="C7:F7"/>
    <mergeCell ref="A8:A9"/>
    <mergeCell ref="B8:D8"/>
    <mergeCell ref="E8:G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869"/>
  <sheetViews>
    <sheetView topLeftCell="H4" workbookViewId="0">
      <selection activeCell="C21" sqref="C21"/>
    </sheetView>
  </sheetViews>
  <sheetFormatPr baseColWidth="10" defaultColWidth="14.44140625" defaultRowHeight="15" customHeight="1"/>
  <cols>
    <col min="2" max="30" width="11.44140625" customWidth="1"/>
  </cols>
  <sheetData>
    <row r="1" spans="1:25" ht="29.4">
      <c r="A1" s="35" t="s">
        <v>75</v>
      </c>
      <c r="B1" s="35"/>
      <c r="C1" s="35"/>
      <c r="D1" s="35"/>
      <c r="E1" s="35"/>
      <c r="F1" s="35"/>
      <c r="G1" s="167" t="s">
        <v>1</v>
      </c>
      <c r="H1" s="154"/>
      <c r="I1" s="154"/>
      <c r="J1" s="154"/>
      <c r="K1" s="154"/>
      <c r="L1" s="154"/>
      <c r="M1" s="154"/>
      <c r="N1" s="154"/>
      <c r="O1" s="154"/>
      <c r="P1" s="36"/>
      <c r="Q1" s="35"/>
      <c r="R1" s="35"/>
      <c r="S1" s="35"/>
      <c r="T1" s="35"/>
      <c r="U1" s="35"/>
      <c r="V1" s="35"/>
      <c r="W1" s="35"/>
      <c r="X1" s="35"/>
      <c r="Y1" s="35"/>
    </row>
    <row r="2" spans="1:25" ht="14.4">
      <c r="A2" s="35"/>
      <c r="B2" s="35"/>
      <c r="C2" s="35"/>
      <c r="D2" s="35"/>
      <c r="E2" s="155" t="s">
        <v>2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35"/>
      <c r="U2" s="35"/>
      <c r="V2" s="35"/>
      <c r="W2" s="35"/>
      <c r="X2" s="35"/>
      <c r="Y2" s="35"/>
    </row>
    <row r="3" spans="1:25" ht="14.4">
      <c r="A3" s="35"/>
      <c r="B3" s="35"/>
      <c r="C3" s="35"/>
      <c r="D3" s="3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5"/>
      <c r="U3" s="35"/>
      <c r="V3" s="35"/>
      <c r="W3" s="35"/>
      <c r="X3" s="35"/>
      <c r="Y3" s="35"/>
    </row>
    <row r="4" spans="1:25" ht="14.4">
      <c r="A4" s="159" t="s">
        <v>3</v>
      </c>
      <c r="B4" s="131"/>
      <c r="C4" s="157" t="s">
        <v>101</v>
      </c>
      <c r="D4" s="130"/>
      <c r="E4" s="130"/>
      <c r="F4" s="13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5"/>
      <c r="U4" s="35"/>
      <c r="V4" s="35"/>
      <c r="W4" s="35"/>
      <c r="X4" s="35"/>
      <c r="Y4" s="35"/>
    </row>
    <row r="5" spans="1:25" ht="14.4">
      <c r="A5" s="159" t="s">
        <v>89</v>
      </c>
      <c r="B5" s="131"/>
      <c r="C5" s="158" t="s">
        <v>102</v>
      </c>
      <c r="D5" s="130"/>
      <c r="E5" s="130"/>
      <c r="F5" s="13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ht="14.4">
      <c r="A6" s="159" t="s">
        <v>9</v>
      </c>
      <c r="B6" s="131"/>
      <c r="C6" s="158">
        <v>2025</v>
      </c>
      <c r="D6" s="130"/>
      <c r="E6" s="130"/>
      <c r="F6" s="131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 ht="14.4">
      <c r="A7" s="135" t="s">
        <v>10</v>
      </c>
      <c r="B7" s="136"/>
      <c r="C7" s="137" t="s">
        <v>11</v>
      </c>
      <c r="D7" s="138"/>
      <c r="E7" s="138"/>
      <c r="F7" s="139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5" ht="25.2">
      <c r="A8" s="140" t="s">
        <v>12</v>
      </c>
      <c r="B8" s="149" t="s">
        <v>13</v>
      </c>
      <c r="C8" s="143"/>
      <c r="D8" s="144"/>
      <c r="E8" s="168" t="s">
        <v>14</v>
      </c>
      <c r="F8" s="143"/>
      <c r="G8" s="143"/>
      <c r="H8" s="142" t="s">
        <v>16</v>
      </c>
      <c r="I8" s="144"/>
      <c r="J8" s="11" t="s">
        <v>17</v>
      </c>
      <c r="K8" s="142" t="s">
        <v>18</v>
      </c>
      <c r="L8" s="143"/>
      <c r="M8" s="143"/>
      <c r="N8" s="144"/>
      <c r="O8" s="145" t="s">
        <v>15</v>
      </c>
      <c r="P8" s="145" t="s">
        <v>21</v>
      </c>
      <c r="Q8" s="142" t="s">
        <v>22</v>
      </c>
      <c r="R8" s="144"/>
      <c r="S8" s="145" t="s">
        <v>23</v>
      </c>
      <c r="T8" s="142" t="s">
        <v>24</v>
      </c>
      <c r="U8" s="144"/>
      <c r="V8" s="145" t="s">
        <v>25</v>
      </c>
      <c r="W8" s="145" t="s">
        <v>8</v>
      </c>
      <c r="X8" s="145" t="s">
        <v>26</v>
      </c>
      <c r="Y8" s="145" t="s">
        <v>27</v>
      </c>
    </row>
    <row r="9" spans="1:25" ht="50.4">
      <c r="A9" s="141"/>
      <c r="B9" s="15" t="s">
        <v>28</v>
      </c>
      <c r="C9" s="16" t="s">
        <v>29</v>
      </c>
      <c r="D9" s="17" t="s">
        <v>30</v>
      </c>
      <c r="E9" s="11" t="s">
        <v>31</v>
      </c>
      <c r="F9" s="18" t="s">
        <v>32</v>
      </c>
      <c r="G9" s="13" t="s">
        <v>33</v>
      </c>
      <c r="H9" s="11" t="s">
        <v>35</v>
      </c>
      <c r="I9" s="11" t="s">
        <v>90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46"/>
      <c r="P9" s="146"/>
      <c r="Q9" s="11" t="s">
        <v>91</v>
      </c>
      <c r="R9" s="11" t="s">
        <v>43</v>
      </c>
      <c r="S9" s="146"/>
      <c r="T9" s="11" t="s">
        <v>44</v>
      </c>
      <c r="U9" s="11" t="s">
        <v>45</v>
      </c>
      <c r="V9" s="146"/>
      <c r="W9" s="146"/>
      <c r="X9" s="146"/>
      <c r="Y9" s="146"/>
    </row>
    <row r="10" spans="1:25" ht="14.4">
      <c r="A10" s="20" t="s">
        <v>46</v>
      </c>
      <c r="B10" s="71">
        <v>0</v>
      </c>
      <c r="C10" s="71">
        <v>0</v>
      </c>
      <c r="D10" s="71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2">
        <v>0</v>
      </c>
      <c r="L10" s="71">
        <v>0</v>
      </c>
      <c r="M10" s="71">
        <v>0</v>
      </c>
      <c r="N10" s="72">
        <v>0</v>
      </c>
      <c r="O10" s="71">
        <v>0</v>
      </c>
      <c r="P10" s="71">
        <v>0</v>
      </c>
      <c r="Q10" s="71">
        <v>0</v>
      </c>
      <c r="R10" s="73">
        <v>0</v>
      </c>
      <c r="S10" s="74">
        <v>0</v>
      </c>
      <c r="T10" s="71">
        <v>0</v>
      </c>
      <c r="U10" s="71">
        <v>0</v>
      </c>
      <c r="V10" s="74">
        <v>0</v>
      </c>
      <c r="W10" s="74">
        <v>0</v>
      </c>
      <c r="X10" s="74">
        <v>0</v>
      </c>
      <c r="Y10" s="120" t="e">
        <f>SUM(#REF!)</f>
        <v>#REF!</v>
      </c>
    </row>
    <row r="11" spans="1:25" ht="14.4">
      <c r="A11" s="24" t="s">
        <v>47</v>
      </c>
      <c r="B11" s="71">
        <v>0</v>
      </c>
      <c r="C11" s="71">
        <v>0</v>
      </c>
      <c r="D11" s="71">
        <v>0</v>
      </c>
      <c r="E11" s="71">
        <v>6</v>
      </c>
      <c r="F11" s="71">
        <v>2</v>
      </c>
      <c r="G11" s="71">
        <v>4</v>
      </c>
      <c r="H11" s="71">
        <v>37</v>
      </c>
      <c r="I11" s="71">
        <v>15</v>
      </c>
      <c r="J11" s="75">
        <v>1</v>
      </c>
      <c r="K11" s="72">
        <v>0</v>
      </c>
      <c r="L11" s="71">
        <v>1</v>
      </c>
      <c r="M11" s="71">
        <v>0</v>
      </c>
      <c r="N11" s="72">
        <v>2</v>
      </c>
      <c r="O11" s="71">
        <v>0</v>
      </c>
      <c r="P11" s="71">
        <v>150</v>
      </c>
      <c r="Q11" s="71">
        <v>9</v>
      </c>
      <c r="R11" s="73">
        <v>0</v>
      </c>
      <c r="S11" s="75">
        <v>0</v>
      </c>
      <c r="T11" s="71">
        <v>0</v>
      </c>
      <c r="U11" s="71">
        <v>0</v>
      </c>
      <c r="V11" s="76">
        <v>68</v>
      </c>
      <c r="W11" s="76">
        <v>0</v>
      </c>
      <c r="X11" s="76">
        <v>2</v>
      </c>
      <c r="Y11" s="120" t="e">
        <f>SUM(#REF!)</f>
        <v>#REF!</v>
      </c>
    </row>
    <row r="12" spans="1:25" ht="14.4">
      <c r="A12" s="24" t="s">
        <v>48</v>
      </c>
      <c r="B12" s="71">
        <v>0</v>
      </c>
      <c r="C12" s="71">
        <v>0</v>
      </c>
      <c r="D12" s="71">
        <v>0</v>
      </c>
      <c r="E12" s="71">
        <v>14</v>
      </c>
      <c r="F12" s="71">
        <v>7</v>
      </c>
      <c r="G12" s="71">
        <v>3</v>
      </c>
      <c r="H12" s="71">
        <v>130</v>
      </c>
      <c r="I12" s="71">
        <v>151</v>
      </c>
      <c r="J12" s="77">
        <v>6</v>
      </c>
      <c r="K12" s="72">
        <v>10</v>
      </c>
      <c r="L12" s="71">
        <v>6</v>
      </c>
      <c r="M12" s="71">
        <v>22</v>
      </c>
      <c r="N12" s="72">
        <v>4</v>
      </c>
      <c r="O12" s="77">
        <v>0</v>
      </c>
      <c r="P12" s="77">
        <v>0</v>
      </c>
      <c r="Q12" s="71">
        <v>16</v>
      </c>
      <c r="R12" s="73">
        <v>159</v>
      </c>
      <c r="S12" s="78">
        <v>1</v>
      </c>
      <c r="T12" s="71">
        <v>7</v>
      </c>
      <c r="U12" s="71">
        <v>24</v>
      </c>
      <c r="V12" s="79">
        <v>97</v>
      </c>
      <c r="W12" s="79">
        <v>0</v>
      </c>
      <c r="X12" s="79">
        <v>13</v>
      </c>
      <c r="Y12" s="120" t="e">
        <f>SUM(#REF!)</f>
        <v>#REF!</v>
      </c>
    </row>
    <row r="13" spans="1:25" ht="14.4">
      <c r="A13" s="24" t="s">
        <v>49</v>
      </c>
      <c r="B13" s="71">
        <v>0</v>
      </c>
      <c r="C13" s="71">
        <v>0</v>
      </c>
      <c r="D13" s="71">
        <v>0</v>
      </c>
      <c r="E13" s="71">
        <v>13</v>
      </c>
      <c r="F13" s="71">
        <v>6</v>
      </c>
      <c r="G13" s="71">
        <v>3</v>
      </c>
      <c r="H13" s="71">
        <v>138</v>
      </c>
      <c r="I13" s="71">
        <v>110</v>
      </c>
      <c r="J13" s="77">
        <v>22</v>
      </c>
      <c r="K13" s="72">
        <v>17</v>
      </c>
      <c r="L13" s="71">
        <v>3</v>
      </c>
      <c r="M13" s="71">
        <v>38</v>
      </c>
      <c r="N13" s="72">
        <v>1</v>
      </c>
      <c r="O13" s="80">
        <v>0</v>
      </c>
      <c r="P13" s="80">
        <v>0</v>
      </c>
      <c r="Q13" s="71">
        <v>15</v>
      </c>
      <c r="R13" s="73">
        <v>354</v>
      </c>
      <c r="S13" s="78">
        <v>0</v>
      </c>
      <c r="T13" s="71">
        <v>18</v>
      </c>
      <c r="U13" s="71">
        <v>55</v>
      </c>
      <c r="V13" s="79">
        <v>125</v>
      </c>
      <c r="W13" s="79">
        <v>0</v>
      </c>
      <c r="X13" s="79">
        <v>16</v>
      </c>
      <c r="Y13" s="120" t="e">
        <f>SUM(#REF!)</f>
        <v>#REF!</v>
      </c>
    </row>
    <row r="14" spans="1:25" ht="14.4">
      <c r="A14" s="24" t="s">
        <v>50</v>
      </c>
      <c r="B14" s="81"/>
      <c r="C14" s="81"/>
      <c r="D14" s="81"/>
      <c r="E14" s="81"/>
      <c r="F14" s="81"/>
      <c r="G14" s="81"/>
      <c r="H14" s="81"/>
      <c r="I14" s="81"/>
      <c r="J14" s="82"/>
      <c r="K14" s="83"/>
      <c r="L14" s="81"/>
      <c r="M14" s="81"/>
      <c r="N14" s="83"/>
      <c r="O14" s="82"/>
      <c r="P14" s="82"/>
      <c r="Q14" s="81"/>
      <c r="R14" s="73"/>
      <c r="S14" s="82"/>
      <c r="T14" s="81"/>
      <c r="U14" s="81"/>
      <c r="V14" s="82"/>
      <c r="W14" s="82"/>
      <c r="X14" s="82"/>
      <c r="Y14" s="120" t="e">
        <f>SUM(#REF!)</f>
        <v>#REF!</v>
      </c>
    </row>
    <row r="15" spans="1:25" ht="14.4">
      <c r="A15" s="24" t="s">
        <v>51</v>
      </c>
      <c r="B15" s="81"/>
      <c r="C15" s="81"/>
      <c r="D15" s="81"/>
      <c r="E15" s="81"/>
      <c r="F15" s="81"/>
      <c r="G15" s="81"/>
      <c r="H15" s="81"/>
      <c r="I15" s="81"/>
      <c r="J15" s="84"/>
      <c r="K15" s="83"/>
      <c r="L15" s="81"/>
      <c r="M15" s="81"/>
      <c r="N15" s="83"/>
      <c r="O15" s="84"/>
      <c r="P15" s="84"/>
      <c r="Q15" s="81"/>
      <c r="R15" s="73"/>
      <c r="S15" s="85"/>
      <c r="T15" s="81"/>
      <c r="U15" s="81"/>
      <c r="V15" s="86"/>
      <c r="W15" s="86"/>
      <c r="X15" s="86"/>
      <c r="Y15" s="120" t="e">
        <f>SUM(#REF!)</f>
        <v>#REF!</v>
      </c>
    </row>
    <row r="16" spans="1:25" ht="15.75" customHeight="1">
      <c r="A16" s="24" t="s">
        <v>52</v>
      </c>
      <c r="B16" s="81"/>
      <c r="C16" s="81"/>
      <c r="D16" s="81"/>
      <c r="E16" s="81"/>
      <c r="F16" s="81"/>
      <c r="G16" s="81"/>
      <c r="H16" s="81"/>
      <c r="I16" s="81"/>
      <c r="J16" s="84"/>
      <c r="K16" s="83"/>
      <c r="L16" s="81"/>
      <c r="M16" s="81"/>
      <c r="N16" s="83"/>
      <c r="O16" s="84"/>
      <c r="P16" s="84"/>
      <c r="Q16" s="81"/>
      <c r="R16" s="73"/>
      <c r="S16" s="85"/>
      <c r="T16" s="81"/>
      <c r="U16" s="81"/>
      <c r="V16" s="86"/>
      <c r="W16" s="86"/>
      <c r="X16" s="86"/>
      <c r="Y16" s="120" t="e">
        <f>SUM(#REF!)</f>
        <v>#REF!</v>
      </c>
    </row>
    <row r="17" spans="1:25" ht="15.75" customHeight="1">
      <c r="A17" s="24" t="s">
        <v>53</v>
      </c>
      <c r="B17" s="81"/>
      <c r="C17" s="81"/>
      <c r="D17" s="81"/>
      <c r="E17" s="81"/>
      <c r="F17" s="81"/>
      <c r="G17" s="81"/>
      <c r="H17" s="81"/>
      <c r="I17" s="81"/>
      <c r="J17" s="84"/>
      <c r="K17" s="83"/>
      <c r="L17" s="81"/>
      <c r="M17" s="81"/>
      <c r="N17" s="83"/>
      <c r="O17" s="84"/>
      <c r="P17" s="84"/>
      <c r="Q17" s="81"/>
      <c r="R17" s="73"/>
      <c r="S17" s="85"/>
      <c r="T17" s="81"/>
      <c r="U17" s="81"/>
      <c r="V17" s="86"/>
      <c r="W17" s="86"/>
      <c r="X17" s="86"/>
      <c r="Y17" s="120" t="e">
        <f>SUM(#REF!)</f>
        <v>#REF!</v>
      </c>
    </row>
    <row r="18" spans="1:25" ht="19.5" customHeight="1">
      <c r="A18" s="24" t="s">
        <v>54</v>
      </c>
      <c r="B18" s="81"/>
      <c r="C18" s="81"/>
      <c r="D18" s="81"/>
      <c r="E18" s="81"/>
      <c r="F18" s="81"/>
      <c r="G18" s="81"/>
      <c r="H18" s="81"/>
      <c r="I18" s="81"/>
      <c r="J18" s="87"/>
      <c r="K18" s="83"/>
      <c r="L18" s="81"/>
      <c r="M18" s="81"/>
      <c r="N18" s="83"/>
      <c r="O18" s="84"/>
      <c r="P18" s="84"/>
      <c r="Q18" s="81"/>
      <c r="R18" s="73"/>
      <c r="S18" s="85"/>
      <c r="T18" s="81"/>
      <c r="U18" s="81"/>
      <c r="V18" s="86"/>
      <c r="W18" s="86"/>
      <c r="X18" s="86"/>
      <c r="Y18" s="120" t="e">
        <f>SUM(#REF!)</f>
        <v>#REF!</v>
      </c>
    </row>
    <row r="19" spans="1:25" ht="15.75" customHeight="1">
      <c r="A19" s="24" t="s">
        <v>55</v>
      </c>
      <c r="B19" s="71"/>
      <c r="C19" s="71"/>
      <c r="D19" s="71"/>
      <c r="E19" s="71"/>
      <c r="F19" s="71"/>
      <c r="G19" s="71"/>
      <c r="H19" s="71"/>
      <c r="I19" s="71"/>
      <c r="J19" s="88"/>
      <c r="K19" s="72"/>
      <c r="L19" s="71"/>
      <c r="M19" s="71"/>
      <c r="N19" s="72"/>
      <c r="O19" s="77"/>
      <c r="P19" s="77"/>
      <c r="Q19" s="71"/>
      <c r="R19" s="73"/>
      <c r="S19" s="78"/>
      <c r="T19" s="71"/>
      <c r="U19" s="71"/>
      <c r="V19" s="79"/>
      <c r="W19" s="79"/>
      <c r="X19" s="79"/>
      <c r="Y19" s="120" t="e">
        <f>SUM(#REF!)</f>
        <v>#REF!</v>
      </c>
    </row>
    <row r="20" spans="1:25" ht="15.75" customHeight="1">
      <c r="A20" s="24" t="s">
        <v>56</v>
      </c>
      <c r="B20" s="71"/>
      <c r="C20" s="71"/>
      <c r="D20" s="71"/>
      <c r="E20" s="71"/>
      <c r="F20" s="71"/>
      <c r="G20" s="71"/>
      <c r="H20" s="71"/>
      <c r="I20" s="71"/>
      <c r="J20" s="88"/>
      <c r="K20" s="72"/>
      <c r="L20" s="71"/>
      <c r="M20" s="71"/>
      <c r="N20" s="72"/>
      <c r="O20" s="77"/>
      <c r="P20" s="77"/>
      <c r="Q20" s="71"/>
      <c r="R20" s="73"/>
      <c r="S20" s="78"/>
      <c r="T20" s="71"/>
      <c r="U20" s="71"/>
      <c r="V20" s="79"/>
      <c r="W20" s="79"/>
      <c r="X20" s="79"/>
      <c r="Y20" s="120" t="e">
        <f>SUM(#REF!)</f>
        <v>#REF!</v>
      </c>
    </row>
    <row r="21" spans="1:25" ht="15.75" customHeight="1">
      <c r="A21" s="24" t="s">
        <v>57</v>
      </c>
      <c r="B21" s="81"/>
      <c r="C21" s="81"/>
      <c r="D21" s="81"/>
      <c r="E21" s="71"/>
      <c r="F21" s="71"/>
      <c r="G21" s="71"/>
      <c r="H21" s="71"/>
      <c r="I21" s="71"/>
      <c r="J21" s="88"/>
      <c r="K21" s="72"/>
      <c r="L21" s="71"/>
      <c r="M21" s="71"/>
      <c r="N21" s="72"/>
      <c r="O21" s="77"/>
      <c r="P21" s="77"/>
      <c r="Q21" s="71"/>
      <c r="R21" s="73"/>
      <c r="S21" s="78"/>
      <c r="T21" s="71"/>
      <c r="U21" s="71"/>
      <c r="V21" s="79"/>
      <c r="W21" s="79"/>
      <c r="X21" s="79"/>
      <c r="Y21" s="120" t="e">
        <f>SUM(#REF!)</f>
        <v>#REF!</v>
      </c>
    </row>
    <row r="22" spans="1:25" ht="15.75" customHeight="1"/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</sheetData>
  <mergeCells count="24">
    <mergeCell ref="X8:X9"/>
    <mergeCell ref="Y8:Y9"/>
    <mergeCell ref="T8:U8"/>
    <mergeCell ref="V8:V9"/>
    <mergeCell ref="W8:W9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A6:B6"/>
    <mergeCell ref="A7:B7"/>
    <mergeCell ref="C7:F7"/>
    <mergeCell ref="A8:A9"/>
    <mergeCell ref="B8:D8"/>
    <mergeCell ref="E8:G8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877"/>
  <sheetViews>
    <sheetView topLeftCell="J2" workbookViewId="0">
      <selection activeCell="E11" sqref="E11"/>
    </sheetView>
  </sheetViews>
  <sheetFormatPr baseColWidth="10" defaultColWidth="14.44140625" defaultRowHeight="15" customHeight="1"/>
  <cols>
    <col min="1" max="9" width="11.44140625" customWidth="1"/>
    <col min="10" max="10" width="13.33203125" customWidth="1"/>
    <col min="11" max="15" width="11.44140625" customWidth="1"/>
    <col min="16" max="16" width="14.33203125" customWidth="1"/>
    <col min="17" max="17" width="16.44140625" customWidth="1"/>
    <col min="18" max="18" width="13.5546875" customWidth="1"/>
    <col min="19" max="19" width="13.6640625" customWidth="1"/>
    <col min="20" max="23" width="11.44140625" customWidth="1"/>
    <col min="24" max="24" width="14.5546875" customWidth="1"/>
    <col min="25" max="30" width="11.44140625" customWidth="1"/>
  </cols>
  <sheetData>
    <row r="1" spans="1:25" ht="29.4">
      <c r="A1" s="35" t="s">
        <v>75</v>
      </c>
      <c r="B1" s="35"/>
      <c r="C1" s="35"/>
      <c r="D1" s="35"/>
      <c r="E1" s="35"/>
      <c r="F1" s="35"/>
      <c r="G1" s="167" t="s">
        <v>1</v>
      </c>
      <c r="H1" s="154"/>
      <c r="I1" s="154"/>
      <c r="J1" s="154"/>
      <c r="K1" s="154"/>
      <c r="L1" s="154"/>
      <c r="M1" s="154"/>
      <c r="N1" s="154"/>
      <c r="O1" s="154"/>
      <c r="P1" s="36"/>
      <c r="Q1" s="35"/>
      <c r="R1" s="35"/>
      <c r="S1" s="35"/>
      <c r="T1" s="35"/>
      <c r="U1" s="35"/>
      <c r="V1" s="35"/>
      <c r="W1" s="35"/>
      <c r="X1" s="35"/>
      <c r="Y1" s="35"/>
    </row>
    <row r="2" spans="1:25" ht="14.4">
      <c r="A2" s="35"/>
      <c r="B2" s="35"/>
      <c r="C2" s="35"/>
      <c r="D2" s="35"/>
      <c r="E2" s="155" t="s">
        <v>2</v>
      </c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35"/>
      <c r="U2" s="35"/>
      <c r="V2" s="35"/>
      <c r="W2" s="35"/>
      <c r="X2" s="35"/>
      <c r="Y2" s="35"/>
    </row>
    <row r="3" spans="1:25" ht="14.4">
      <c r="A3" s="35"/>
      <c r="B3" s="35"/>
      <c r="C3" s="35"/>
      <c r="D3" s="3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35"/>
      <c r="U3" s="35"/>
      <c r="V3" s="35"/>
      <c r="W3" s="35"/>
      <c r="X3" s="35"/>
      <c r="Y3" s="35"/>
    </row>
    <row r="4" spans="1:25" ht="14.4">
      <c r="A4" s="159" t="s">
        <v>3</v>
      </c>
      <c r="B4" s="131"/>
      <c r="C4" s="157" t="s">
        <v>103</v>
      </c>
      <c r="D4" s="130"/>
      <c r="E4" s="130"/>
      <c r="F4" s="13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5"/>
      <c r="U4" s="35"/>
      <c r="V4" s="35"/>
      <c r="W4" s="35"/>
      <c r="X4" s="35"/>
      <c r="Y4" s="35"/>
    </row>
    <row r="5" spans="1:25" ht="14.4">
      <c r="A5" s="159" t="s">
        <v>89</v>
      </c>
      <c r="B5" s="131"/>
      <c r="C5" s="158" t="s">
        <v>104</v>
      </c>
      <c r="D5" s="130"/>
      <c r="E5" s="130"/>
      <c r="F5" s="131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ht="14.4">
      <c r="A6" s="159" t="s">
        <v>9</v>
      </c>
      <c r="B6" s="131"/>
      <c r="C6" s="158">
        <v>2025</v>
      </c>
      <c r="D6" s="130"/>
      <c r="E6" s="130"/>
      <c r="F6" s="131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5" ht="14.4">
      <c r="A7" s="135" t="s">
        <v>10</v>
      </c>
      <c r="B7" s="136"/>
      <c r="C7" s="137" t="s">
        <v>11</v>
      </c>
      <c r="D7" s="138"/>
      <c r="E7" s="138"/>
      <c r="F7" s="139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5" ht="14.4">
      <c r="A8" s="140" t="s">
        <v>12</v>
      </c>
      <c r="B8" s="173" t="s">
        <v>13</v>
      </c>
      <c r="C8" s="174"/>
      <c r="D8" s="175"/>
      <c r="E8" s="168" t="s">
        <v>14</v>
      </c>
      <c r="F8" s="143"/>
      <c r="G8" s="143"/>
      <c r="H8" s="142" t="s">
        <v>16</v>
      </c>
      <c r="I8" s="144"/>
      <c r="J8" s="11" t="s">
        <v>17</v>
      </c>
      <c r="K8" s="142" t="s">
        <v>18</v>
      </c>
      <c r="L8" s="143"/>
      <c r="M8" s="143"/>
      <c r="N8" s="144"/>
      <c r="O8" s="145" t="s">
        <v>15</v>
      </c>
      <c r="P8" s="145" t="s">
        <v>105</v>
      </c>
      <c r="Q8" s="142" t="s">
        <v>22</v>
      </c>
      <c r="R8" s="144"/>
      <c r="S8" s="145" t="s">
        <v>23</v>
      </c>
      <c r="T8" s="142" t="s">
        <v>24</v>
      </c>
      <c r="U8" s="144"/>
      <c r="V8" s="145" t="s">
        <v>25</v>
      </c>
      <c r="W8" s="145" t="s">
        <v>8</v>
      </c>
      <c r="X8" s="145" t="s">
        <v>26</v>
      </c>
      <c r="Y8" s="145" t="s">
        <v>27</v>
      </c>
    </row>
    <row r="9" spans="1:25" ht="37.799999999999997">
      <c r="A9" s="141"/>
      <c r="B9" s="97" t="s">
        <v>28</v>
      </c>
      <c r="C9" s="98" t="s">
        <v>29</v>
      </c>
      <c r="D9" s="99" t="s">
        <v>30</v>
      </c>
      <c r="E9" s="14" t="s">
        <v>31</v>
      </c>
      <c r="F9" s="100" t="s">
        <v>32</v>
      </c>
      <c r="G9" s="10" t="s">
        <v>33</v>
      </c>
      <c r="H9" s="11" t="s">
        <v>35</v>
      </c>
      <c r="I9" s="11" t="s">
        <v>90</v>
      </c>
      <c r="J9" s="13" t="s">
        <v>38</v>
      </c>
      <c r="K9" s="11" t="s">
        <v>39</v>
      </c>
      <c r="L9" s="11" t="s">
        <v>40</v>
      </c>
      <c r="M9" s="11" t="s">
        <v>41</v>
      </c>
      <c r="N9" s="11" t="s">
        <v>20</v>
      </c>
      <c r="O9" s="146"/>
      <c r="P9" s="146"/>
      <c r="Q9" s="11" t="s">
        <v>91</v>
      </c>
      <c r="R9" s="11" t="s">
        <v>43</v>
      </c>
      <c r="S9" s="146"/>
      <c r="T9" s="11" t="s">
        <v>44</v>
      </c>
      <c r="U9" s="11" t="s">
        <v>45</v>
      </c>
      <c r="V9" s="146"/>
      <c r="W9" s="146"/>
      <c r="X9" s="146"/>
      <c r="Y9" s="146"/>
    </row>
    <row r="10" spans="1:25" ht="14.4">
      <c r="A10" s="20" t="s">
        <v>46</v>
      </c>
      <c r="B10" s="71">
        <v>0</v>
      </c>
      <c r="C10" s="71">
        <v>0</v>
      </c>
      <c r="D10" s="71">
        <v>0</v>
      </c>
      <c r="E10" s="75">
        <v>0</v>
      </c>
      <c r="F10" s="75">
        <v>0</v>
      </c>
      <c r="G10" s="75">
        <v>0</v>
      </c>
      <c r="H10" s="71">
        <v>0</v>
      </c>
      <c r="I10" s="71">
        <v>0</v>
      </c>
      <c r="J10" s="71">
        <v>0</v>
      </c>
      <c r="K10" s="72">
        <v>0</v>
      </c>
      <c r="L10" s="71">
        <v>0</v>
      </c>
      <c r="M10" s="71">
        <v>0</v>
      </c>
      <c r="N10" s="72">
        <v>0</v>
      </c>
      <c r="O10" s="71">
        <v>0</v>
      </c>
      <c r="P10" s="71">
        <v>0</v>
      </c>
      <c r="Q10" s="71">
        <v>0</v>
      </c>
      <c r="R10" s="73">
        <v>0</v>
      </c>
      <c r="S10" s="74">
        <v>0</v>
      </c>
      <c r="T10" s="71">
        <v>0</v>
      </c>
      <c r="U10" s="71">
        <v>0</v>
      </c>
      <c r="V10" s="74">
        <v>0</v>
      </c>
      <c r="W10" s="74">
        <v>0</v>
      </c>
      <c r="X10" s="74">
        <v>0</v>
      </c>
      <c r="Y10" s="120">
        <f>SUM(B10:X10)</f>
        <v>0</v>
      </c>
    </row>
    <row r="11" spans="1:25" ht="14.4">
      <c r="A11" s="24" t="s">
        <v>47</v>
      </c>
      <c r="B11" s="71">
        <v>0</v>
      </c>
      <c r="C11" s="71">
        <v>0</v>
      </c>
      <c r="D11" s="71">
        <v>0</v>
      </c>
      <c r="E11" s="71">
        <v>2</v>
      </c>
      <c r="F11" s="71">
        <v>0</v>
      </c>
      <c r="G11" s="71">
        <v>4</v>
      </c>
      <c r="H11" s="71">
        <v>22</v>
      </c>
      <c r="I11" s="71">
        <v>24</v>
      </c>
      <c r="J11" s="75">
        <v>2</v>
      </c>
      <c r="K11" s="72">
        <v>3</v>
      </c>
      <c r="L11" s="71">
        <v>3</v>
      </c>
      <c r="M11" s="71">
        <v>4</v>
      </c>
      <c r="N11" s="72">
        <v>0</v>
      </c>
      <c r="O11" s="71">
        <v>0</v>
      </c>
      <c r="P11" s="71">
        <v>1</v>
      </c>
      <c r="Q11" s="71">
        <v>0</v>
      </c>
      <c r="R11" s="73">
        <v>46</v>
      </c>
      <c r="S11" s="75">
        <v>0</v>
      </c>
      <c r="T11" s="71">
        <v>0</v>
      </c>
      <c r="U11" s="71">
        <v>11</v>
      </c>
      <c r="V11" s="76">
        <v>29</v>
      </c>
      <c r="W11" s="76">
        <v>4</v>
      </c>
      <c r="X11" s="76">
        <v>5</v>
      </c>
      <c r="Y11" s="120">
        <f t="shared" ref="Y11:Y21" si="0">SUM(B11:X11)</f>
        <v>160</v>
      </c>
    </row>
    <row r="12" spans="1:25" ht="14.4">
      <c r="A12" s="24" t="s">
        <v>48</v>
      </c>
      <c r="B12" s="71">
        <v>2</v>
      </c>
      <c r="C12" s="71">
        <v>0</v>
      </c>
      <c r="D12" s="71">
        <v>0</v>
      </c>
      <c r="E12" s="71">
        <v>11</v>
      </c>
      <c r="F12" s="71">
        <v>11</v>
      </c>
      <c r="G12" s="71">
        <v>5</v>
      </c>
      <c r="H12" s="71">
        <v>169</v>
      </c>
      <c r="I12" s="71">
        <v>66</v>
      </c>
      <c r="J12" s="77">
        <v>1</v>
      </c>
      <c r="K12" s="72">
        <v>27</v>
      </c>
      <c r="L12" s="71">
        <v>2</v>
      </c>
      <c r="M12" s="71">
        <v>1</v>
      </c>
      <c r="N12" s="72">
        <v>0</v>
      </c>
      <c r="O12" s="77">
        <v>5</v>
      </c>
      <c r="P12" s="77">
        <v>11</v>
      </c>
      <c r="Q12" s="71">
        <v>13</v>
      </c>
      <c r="R12" s="73">
        <v>226</v>
      </c>
      <c r="S12" s="78">
        <v>0</v>
      </c>
      <c r="T12" s="71">
        <v>3</v>
      </c>
      <c r="U12" s="71">
        <v>5</v>
      </c>
      <c r="V12" s="79">
        <v>94</v>
      </c>
      <c r="W12" s="79">
        <v>18</v>
      </c>
      <c r="X12" s="79">
        <v>17</v>
      </c>
      <c r="Y12" s="120">
        <f t="shared" si="0"/>
        <v>687</v>
      </c>
    </row>
    <row r="13" spans="1:25" ht="14.4">
      <c r="A13" s="24" t="s">
        <v>49</v>
      </c>
      <c r="B13" s="71">
        <v>0</v>
      </c>
      <c r="C13" s="71">
        <v>0</v>
      </c>
      <c r="D13" s="71">
        <v>0</v>
      </c>
      <c r="E13" s="71">
        <v>10</v>
      </c>
      <c r="F13" s="71">
        <v>3</v>
      </c>
      <c r="G13" s="71">
        <v>7</v>
      </c>
      <c r="H13" s="71">
        <v>219</v>
      </c>
      <c r="I13" s="71">
        <v>83</v>
      </c>
      <c r="J13" s="84"/>
      <c r="K13" s="72">
        <v>35</v>
      </c>
      <c r="L13" s="71">
        <v>3</v>
      </c>
      <c r="M13" s="71">
        <v>6</v>
      </c>
      <c r="N13" s="72">
        <v>3</v>
      </c>
      <c r="O13" s="80">
        <v>4</v>
      </c>
      <c r="P13" s="80">
        <v>19</v>
      </c>
      <c r="Q13" s="71">
        <v>1</v>
      </c>
      <c r="R13" s="73">
        <v>306</v>
      </c>
      <c r="S13" s="78">
        <v>0</v>
      </c>
      <c r="T13" s="71">
        <v>2</v>
      </c>
      <c r="U13" s="71">
        <v>4</v>
      </c>
      <c r="V13" s="79">
        <v>224</v>
      </c>
      <c r="W13" s="79">
        <v>24</v>
      </c>
      <c r="X13" s="79">
        <v>10</v>
      </c>
      <c r="Y13" s="120">
        <f t="shared" si="0"/>
        <v>963</v>
      </c>
    </row>
    <row r="14" spans="1:25" ht="14.4">
      <c r="A14" s="24" t="s">
        <v>50</v>
      </c>
      <c r="B14" s="81"/>
      <c r="C14" s="81"/>
      <c r="D14" s="81"/>
      <c r="E14" s="81"/>
      <c r="F14" s="81"/>
      <c r="G14" s="81"/>
      <c r="H14" s="81"/>
      <c r="I14" s="81"/>
      <c r="J14" s="82"/>
      <c r="K14" s="101"/>
      <c r="L14" s="91"/>
      <c r="M14" s="91"/>
      <c r="N14" s="101"/>
      <c r="O14" s="82"/>
      <c r="P14" s="82"/>
      <c r="Q14" s="81"/>
      <c r="R14" s="73"/>
      <c r="S14" s="82"/>
      <c r="T14" s="81"/>
      <c r="U14" s="81"/>
      <c r="V14" s="82"/>
      <c r="W14" s="82"/>
      <c r="X14" s="82"/>
      <c r="Y14" s="120">
        <f t="shared" si="0"/>
        <v>0</v>
      </c>
    </row>
    <row r="15" spans="1:25" ht="14.4">
      <c r="A15" s="24" t="s">
        <v>51</v>
      </c>
      <c r="B15" s="81"/>
      <c r="C15" s="81"/>
      <c r="D15" s="81"/>
      <c r="E15" s="81"/>
      <c r="F15" s="81"/>
      <c r="G15" s="81"/>
      <c r="H15" s="81"/>
      <c r="I15" s="81"/>
      <c r="J15" s="84"/>
      <c r="K15" s="83"/>
      <c r="L15" s="81"/>
      <c r="M15" s="81"/>
      <c r="N15" s="83"/>
      <c r="O15" s="84"/>
      <c r="P15" s="84"/>
      <c r="Q15" s="81"/>
      <c r="R15" s="73"/>
      <c r="S15" s="85"/>
      <c r="T15" s="81"/>
      <c r="U15" s="81"/>
      <c r="V15" s="86"/>
      <c r="W15" s="86"/>
      <c r="X15" s="86"/>
      <c r="Y15" s="120">
        <f t="shared" si="0"/>
        <v>0</v>
      </c>
    </row>
    <row r="16" spans="1:25" ht="15.75" customHeight="1">
      <c r="A16" s="24" t="s">
        <v>52</v>
      </c>
      <c r="B16" s="81"/>
      <c r="C16" s="81"/>
      <c r="D16" s="81"/>
      <c r="E16" s="81"/>
      <c r="F16" s="81"/>
      <c r="G16" s="81"/>
      <c r="H16" s="81"/>
      <c r="I16" s="81"/>
      <c r="J16" s="84"/>
      <c r="K16" s="83"/>
      <c r="L16" s="81"/>
      <c r="M16" s="81"/>
      <c r="N16" s="83"/>
      <c r="O16" s="84"/>
      <c r="P16" s="84"/>
      <c r="Q16" s="81"/>
      <c r="R16" s="73"/>
      <c r="S16" s="85"/>
      <c r="T16" s="81"/>
      <c r="U16" s="81"/>
      <c r="V16" s="86"/>
      <c r="W16" s="86"/>
      <c r="X16" s="86"/>
      <c r="Y16" s="120">
        <f t="shared" si="0"/>
        <v>0</v>
      </c>
    </row>
    <row r="17" spans="1:25" ht="15.75" customHeight="1">
      <c r="A17" s="24" t="s">
        <v>53</v>
      </c>
      <c r="B17" s="81"/>
      <c r="C17" s="81"/>
      <c r="D17" s="81"/>
      <c r="E17" s="81"/>
      <c r="F17" s="81"/>
      <c r="G17" s="81"/>
      <c r="H17" s="81"/>
      <c r="I17" s="81"/>
      <c r="J17" s="84"/>
      <c r="K17" s="83"/>
      <c r="L17" s="81"/>
      <c r="M17" s="81"/>
      <c r="N17" s="83"/>
      <c r="O17" s="84"/>
      <c r="P17" s="84"/>
      <c r="Q17" s="81"/>
      <c r="R17" s="73"/>
      <c r="S17" s="85"/>
      <c r="T17" s="81"/>
      <c r="U17" s="81"/>
      <c r="V17" s="86"/>
      <c r="W17" s="86"/>
      <c r="X17" s="86"/>
      <c r="Y17" s="120">
        <f t="shared" si="0"/>
        <v>0</v>
      </c>
    </row>
    <row r="18" spans="1:25" ht="15.75" customHeight="1">
      <c r="A18" s="102" t="s">
        <v>54</v>
      </c>
      <c r="B18" s="81"/>
      <c r="C18" s="81"/>
      <c r="D18" s="81"/>
      <c r="E18" s="81"/>
      <c r="F18" s="81"/>
      <c r="G18" s="81"/>
      <c r="H18" s="81"/>
      <c r="I18" s="81"/>
      <c r="J18" s="87"/>
      <c r="K18" s="83"/>
      <c r="L18" s="81"/>
      <c r="M18" s="81"/>
      <c r="N18" s="83"/>
      <c r="O18" s="84"/>
      <c r="P18" s="84"/>
      <c r="Q18" s="81"/>
      <c r="R18" s="73"/>
      <c r="S18" s="85"/>
      <c r="T18" s="81"/>
      <c r="U18" s="81"/>
      <c r="V18" s="86"/>
      <c r="W18" s="86"/>
      <c r="X18" s="86"/>
      <c r="Y18" s="120">
        <f t="shared" si="0"/>
        <v>0</v>
      </c>
    </row>
    <row r="19" spans="1:25" ht="15.75" customHeight="1">
      <c r="A19" s="24" t="s">
        <v>55</v>
      </c>
      <c r="B19" s="71"/>
      <c r="C19" s="71"/>
      <c r="D19" s="71"/>
      <c r="E19" s="71"/>
      <c r="F19" s="71"/>
      <c r="G19" s="71"/>
      <c r="H19" s="71"/>
      <c r="I19" s="71"/>
      <c r="J19" s="88"/>
      <c r="K19" s="72"/>
      <c r="L19" s="71"/>
      <c r="M19" s="71"/>
      <c r="N19" s="72"/>
      <c r="O19" s="77"/>
      <c r="P19" s="77"/>
      <c r="Q19" s="71"/>
      <c r="R19" s="73"/>
      <c r="S19" s="78"/>
      <c r="T19" s="71"/>
      <c r="U19" s="71"/>
      <c r="V19" s="79"/>
      <c r="W19" s="79"/>
      <c r="X19" s="79"/>
      <c r="Y19" s="120">
        <f t="shared" si="0"/>
        <v>0</v>
      </c>
    </row>
    <row r="20" spans="1:25" ht="15.75" customHeight="1">
      <c r="A20" s="102" t="s">
        <v>56</v>
      </c>
      <c r="B20" s="71"/>
      <c r="C20" s="71"/>
      <c r="D20" s="71"/>
      <c r="E20" s="71"/>
      <c r="F20" s="71"/>
      <c r="G20" s="71"/>
      <c r="H20" s="71"/>
      <c r="I20" s="71"/>
      <c r="J20" s="88"/>
      <c r="K20" s="72"/>
      <c r="L20" s="71"/>
      <c r="M20" s="71"/>
      <c r="N20" s="72"/>
      <c r="O20" s="77"/>
      <c r="P20" s="77"/>
      <c r="Q20" s="71"/>
      <c r="R20" s="73"/>
      <c r="S20" s="78"/>
      <c r="T20" s="71"/>
      <c r="U20" s="71"/>
      <c r="V20" s="79"/>
      <c r="W20" s="79"/>
      <c r="X20" s="79"/>
      <c r="Y20" s="120">
        <f t="shared" si="0"/>
        <v>0</v>
      </c>
    </row>
    <row r="21" spans="1:25" ht="15.75" customHeight="1">
      <c r="A21" s="24" t="s">
        <v>106</v>
      </c>
      <c r="B21" s="81"/>
      <c r="C21" s="81"/>
      <c r="D21" s="81"/>
      <c r="E21" s="71"/>
      <c r="F21" s="71"/>
      <c r="G21" s="71"/>
      <c r="H21" s="71"/>
      <c r="I21" s="71"/>
      <c r="J21" s="88"/>
      <c r="K21" s="72"/>
      <c r="L21" s="71"/>
      <c r="M21" s="71"/>
      <c r="N21" s="72"/>
      <c r="O21" s="77"/>
      <c r="P21" s="77"/>
      <c r="Q21" s="71"/>
      <c r="R21" s="73"/>
      <c r="S21" s="78"/>
      <c r="T21" s="71"/>
      <c r="U21" s="71"/>
      <c r="V21" s="79"/>
      <c r="W21" s="79"/>
      <c r="X21" s="79"/>
      <c r="Y21" s="120">
        <f t="shared" si="0"/>
        <v>0</v>
      </c>
    </row>
    <row r="22" spans="1:25" ht="15.75" customHeight="1"/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</sheetData>
  <mergeCells count="24">
    <mergeCell ref="X8:X9"/>
    <mergeCell ref="Y8:Y9"/>
    <mergeCell ref="T8:U8"/>
    <mergeCell ref="V8:V9"/>
    <mergeCell ref="W8:W9"/>
    <mergeCell ref="H8:I8"/>
    <mergeCell ref="G1:O1"/>
    <mergeCell ref="E2:S2"/>
    <mergeCell ref="A4:B4"/>
    <mergeCell ref="C4:F4"/>
    <mergeCell ref="A5:B5"/>
    <mergeCell ref="C5:F5"/>
    <mergeCell ref="C6:F6"/>
    <mergeCell ref="K8:N8"/>
    <mergeCell ref="O8:O9"/>
    <mergeCell ref="P8:P9"/>
    <mergeCell ref="Q8:R8"/>
    <mergeCell ref="S8:S9"/>
    <mergeCell ref="A6:B6"/>
    <mergeCell ref="A7:B7"/>
    <mergeCell ref="C7:F7"/>
    <mergeCell ref="A8:A9"/>
    <mergeCell ref="B8:D8"/>
    <mergeCell ref="E8:G8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>
      <selection activeCell="P9" sqref="P9"/>
    </sheetView>
  </sheetViews>
  <sheetFormatPr baseColWidth="10" defaultColWidth="14.44140625" defaultRowHeight="15" customHeight="1"/>
  <cols>
    <col min="1" max="26" width="11.44140625" customWidth="1"/>
  </cols>
  <sheetData>
    <row r="1" spans="1:11" ht="86.4">
      <c r="A1" s="103"/>
      <c r="B1" s="104" t="s">
        <v>59</v>
      </c>
      <c r="C1" s="104" t="s">
        <v>107</v>
      </c>
      <c r="D1" s="105" t="s">
        <v>26</v>
      </c>
      <c r="E1" s="104" t="s">
        <v>108</v>
      </c>
      <c r="F1" s="104" t="s">
        <v>109</v>
      </c>
      <c r="G1" s="104" t="s">
        <v>110</v>
      </c>
      <c r="H1" s="104" t="s">
        <v>111</v>
      </c>
      <c r="I1" s="106" t="s">
        <v>112</v>
      </c>
      <c r="J1" s="107" t="s">
        <v>23</v>
      </c>
      <c r="K1" s="104" t="s">
        <v>113</v>
      </c>
    </row>
    <row r="2" spans="1:11" ht="14.4">
      <c r="A2" s="108" t="s">
        <v>62</v>
      </c>
      <c r="B2" s="109">
        <v>100</v>
      </c>
      <c r="C2" s="110">
        <v>958</v>
      </c>
      <c r="D2" s="111">
        <v>70</v>
      </c>
      <c r="E2" s="112">
        <f>SUM('[1]JUNTA 1'!E40,'[1]JUNTA 2'!E40,'[1]JUNTA 3'!G40,'[1]JUNTA 4'!E41,'[1]JUNTA 5'!G39,'[1]JUNTA 6'!G39,'[1]JUNTA 7'!G39,'[1]JUNTA 8'!G38,'[1]AREA COLECTIVA Y E.H'!E38)</f>
        <v>0</v>
      </c>
      <c r="F2" s="33">
        <v>55</v>
      </c>
      <c r="G2" s="33">
        <v>25</v>
      </c>
      <c r="H2" s="33">
        <v>4800</v>
      </c>
      <c r="I2" s="107">
        <v>25</v>
      </c>
      <c r="J2" s="113">
        <v>100</v>
      </c>
      <c r="K2" s="32">
        <v>55</v>
      </c>
    </row>
    <row r="3" spans="1:11" ht="14.4">
      <c r="A3" s="114" t="s">
        <v>63</v>
      </c>
      <c r="B3" s="109">
        <v>155</v>
      </c>
      <c r="C3" s="110">
        <v>2236</v>
      </c>
      <c r="D3" s="111">
        <v>70</v>
      </c>
      <c r="E3" s="112">
        <f>SUM('[1]JUNTA 1'!E41,'[1]JUNTA 2'!E41,'[1]JUNTA 3'!G41,'[1]JUNTA 4'!E42,'[1]JUNTA 5'!G40,'[1]JUNTA 6'!G40,'[1]JUNTA 7'!G39,'[1]JUNTA 8'!G39,'[1]AREA COLECTIVA Y E.H'!E39)</f>
        <v>0</v>
      </c>
      <c r="F3" s="33">
        <v>75</v>
      </c>
      <c r="G3" s="33">
        <v>36</v>
      </c>
      <c r="H3" s="33">
        <v>5200</v>
      </c>
      <c r="I3" s="107">
        <v>50</v>
      </c>
      <c r="J3" s="113">
        <v>150</v>
      </c>
      <c r="K3" s="32">
        <v>55</v>
      </c>
    </row>
    <row r="4" spans="1:11" ht="14.4">
      <c r="A4" s="114" t="s">
        <v>64</v>
      </c>
      <c r="B4" s="109">
        <v>155</v>
      </c>
      <c r="C4" s="110">
        <v>2236</v>
      </c>
      <c r="D4" s="111">
        <v>70</v>
      </c>
      <c r="E4" s="112">
        <f>SUM('[1]JUNTA 1'!E42,'[1]JUNTA 2'!E42,'[1]JUNTA 3'!G42,'[1]JUNTA 4'!E43,'[1]JUNTA 5'!G41,'[1]JUNTA 6'!G41,'[1]JUNTA 7'!G41,'[1]JUNTA 8'!G40,'[1]AREA COLECTIVA Y E.H'!E40)</f>
        <v>0</v>
      </c>
      <c r="F4" s="33">
        <v>75</v>
      </c>
      <c r="G4" s="33">
        <v>36</v>
      </c>
      <c r="H4" s="33">
        <v>5200</v>
      </c>
      <c r="I4" s="107">
        <v>50</v>
      </c>
      <c r="J4" s="113">
        <v>150</v>
      </c>
      <c r="K4" s="32">
        <v>55</v>
      </c>
    </row>
    <row r="5" spans="1:11" ht="14.4">
      <c r="A5" s="114" t="s">
        <v>65</v>
      </c>
      <c r="B5" s="109">
        <v>155</v>
      </c>
      <c r="C5" s="110">
        <v>2236</v>
      </c>
      <c r="D5" s="111">
        <v>70</v>
      </c>
      <c r="E5" s="112">
        <f>SUM('[1]JUNTA 1'!E43,'[1]JUNTA 2'!E43,'[1]JUNTA 3'!G43,'[1]JUNTA 4'!E44,'[1]JUNTA 5'!G42,'[1]JUNTA 6'!G42,'[1]JUNTA 7'!G41,'[1]JUNTA 8'!G41,'[1]AREA COLECTIVA Y E.H'!E41)</f>
        <v>0</v>
      </c>
      <c r="F5" s="33">
        <v>75</v>
      </c>
      <c r="G5" s="33">
        <v>36</v>
      </c>
      <c r="H5" s="33">
        <v>5200</v>
      </c>
      <c r="I5" s="107">
        <v>50</v>
      </c>
      <c r="J5" s="113">
        <v>150</v>
      </c>
      <c r="K5" s="32">
        <v>55</v>
      </c>
    </row>
    <row r="6" spans="1:11" ht="14.4">
      <c r="A6" s="114" t="s">
        <v>66</v>
      </c>
      <c r="B6" s="109">
        <v>155</v>
      </c>
      <c r="C6" s="110">
        <v>2238</v>
      </c>
      <c r="D6" s="111">
        <v>70</v>
      </c>
      <c r="E6" s="112">
        <f>SUM('[1]JUNTA 1'!E44,'[1]JUNTA 2'!E44,'[1]JUNTA 3'!G44,'[1]JUNTA 4'!E45,'[1]JUNTA 5'!G43,'[1]JUNTA 6'!G43,'[1]JUNTA 7'!G43,'[1]JUNTA 8'!G42,'[1]AREA COLECTIVA Y E.H'!E42)</f>
        <v>0</v>
      </c>
      <c r="F6" s="33">
        <v>75</v>
      </c>
      <c r="G6" s="33">
        <v>36</v>
      </c>
      <c r="H6" s="33">
        <v>5200</v>
      </c>
      <c r="I6" s="107">
        <v>50</v>
      </c>
      <c r="J6" s="113">
        <v>150</v>
      </c>
      <c r="K6" s="32">
        <v>55</v>
      </c>
    </row>
    <row r="7" spans="1:11" ht="14.4">
      <c r="A7" s="114" t="s">
        <v>67</v>
      </c>
      <c r="B7" s="109">
        <v>155</v>
      </c>
      <c r="C7" s="110">
        <v>2236</v>
      </c>
      <c r="D7" s="111">
        <v>70</v>
      </c>
      <c r="E7" s="112">
        <f>SUM('[1]JUNTA 1'!E45,'[1]JUNTA 2'!E45,'[1]JUNTA 3'!G45,'[1]JUNTA 4'!E46,'[1]JUNTA 5'!G44,'[1]JUNTA 6'!G44,'[1]JUNTA 7'!G43,'[1]JUNTA 8'!G43,'[1]AREA COLECTIVA Y E.H'!E43)</f>
        <v>0</v>
      </c>
      <c r="F7" s="33">
        <v>75</v>
      </c>
      <c r="G7" s="33">
        <v>36</v>
      </c>
      <c r="H7" s="33">
        <v>5200</v>
      </c>
      <c r="I7" s="107">
        <v>50</v>
      </c>
      <c r="J7" s="113">
        <v>150</v>
      </c>
      <c r="K7" s="32">
        <v>35</v>
      </c>
    </row>
    <row r="8" spans="1:11" ht="14.4">
      <c r="A8" s="114" t="s">
        <v>68</v>
      </c>
      <c r="B8" s="109">
        <v>100</v>
      </c>
      <c r="C8" s="110">
        <v>958</v>
      </c>
      <c r="D8" s="111">
        <v>35</v>
      </c>
      <c r="E8" s="112">
        <f>SUM('[1]JUNTA 1'!E46,'[1]JUNTA 2'!E46,'[1]JUNTA 3'!G46,'[1]JUNTA 4'!E47,'[1]JUNTA 5'!G45,'[1]JUNTA 6'!G45,'[1]JUNTA 7'!G45,'[1]JUNTA 8'!G44,'[1]AREA COLECTIVA Y E.H'!E44)</f>
        <v>0</v>
      </c>
      <c r="F8" s="33">
        <v>55</v>
      </c>
      <c r="G8" s="33">
        <v>25</v>
      </c>
      <c r="H8" s="33">
        <v>4800</v>
      </c>
      <c r="I8" s="107">
        <v>25</v>
      </c>
      <c r="J8" s="113">
        <v>100</v>
      </c>
      <c r="K8" s="32">
        <v>55</v>
      </c>
    </row>
    <row r="9" spans="1:11" ht="14.4">
      <c r="A9" s="114" t="s">
        <v>69</v>
      </c>
      <c r="B9" s="109">
        <v>155</v>
      </c>
      <c r="C9" s="110">
        <v>2236</v>
      </c>
      <c r="D9" s="111">
        <v>70</v>
      </c>
      <c r="E9" s="112">
        <f>SUM('[1]JUNTA 1'!E47,'[1]JUNTA 2'!E47,'[1]JUNTA 3'!G47,'[1]JUNTA 4'!E48,'[1]JUNTA 5'!G46,'[1]JUNTA 6'!G46,'[1]JUNTA 7'!G45,'[1]JUNTA 8'!G45,'[1]AREA COLECTIVA Y E.H'!E45)</f>
        <v>0</v>
      </c>
      <c r="F9" s="33">
        <v>75</v>
      </c>
      <c r="G9" s="33">
        <v>36</v>
      </c>
      <c r="H9" s="33">
        <v>5200</v>
      </c>
      <c r="I9" s="107">
        <v>50</v>
      </c>
      <c r="J9" s="113">
        <v>150</v>
      </c>
      <c r="K9" s="32">
        <v>55</v>
      </c>
    </row>
    <row r="10" spans="1:11" ht="14.4">
      <c r="A10" s="114" t="s">
        <v>70</v>
      </c>
      <c r="B10" s="109">
        <v>155</v>
      </c>
      <c r="C10" s="110">
        <v>2236</v>
      </c>
      <c r="D10" s="111">
        <v>70</v>
      </c>
      <c r="E10" s="112">
        <f>SUM('[1]JUNTA 1'!E48,'[1]JUNTA 2'!E48,'[1]JUNTA 3'!G48,'[1]JUNTA 4'!E49,'[1]JUNTA 5'!G47,'[1]JUNTA 6'!G47,'[1]JUNTA 7'!G47,'[1]JUNTA 8'!G46,'[1]AREA COLECTIVA Y E.H'!E46)</f>
        <v>0</v>
      </c>
      <c r="F10" s="33">
        <v>75</v>
      </c>
      <c r="G10" s="33">
        <v>36</v>
      </c>
      <c r="H10" s="33">
        <v>5200</v>
      </c>
      <c r="I10" s="107">
        <v>50</v>
      </c>
      <c r="J10" s="113">
        <v>150</v>
      </c>
      <c r="K10" s="32">
        <v>55</v>
      </c>
    </row>
    <row r="11" spans="1:11" ht="14.4">
      <c r="A11" s="114" t="s">
        <v>71</v>
      </c>
      <c r="B11" s="109">
        <v>155</v>
      </c>
      <c r="C11" s="110">
        <v>2236</v>
      </c>
      <c r="D11" s="111">
        <v>70</v>
      </c>
      <c r="E11" s="112">
        <f>SUM('[1]JUNTA 1'!E49,'[1]JUNTA 2'!E49,'[1]JUNTA 3'!G49,'[1]JUNTA 4'!E50,'[1]JUNTA 5'!G48,'[1]JUNTA 6'!G48,'[1]JUNTA 7'!G47,'[1]JUNTA 8'!G47,'[1]AREA COLECTIVA Y E.H'!E47)</f>
        <v>0</v>
      </c>
      <c r="F11" s="33">
        <v>75</v>
      </c>
      <c r="G11" s="33">
        <v>36</v>
      </c>
      <c r="H11" s="33">
        <v>5200</v>
      </c>
      <c r="I11" s="107">
        <v>50</v>
      </c>
      <c r="J11" s="113">
        <v>150</v>
      </c>
      <c r="K11" s="32">
        <v>55</v>
      </c>
    </row>
    <row r="12" spans="1:11" ht="14.4">
      <c r="A12" s="114" t="s">
        <v>72</v>
      </c>
      <c r="B12" s="109">
        <v>160</v>
      </c>
      <c r="C12" s="110">
        <v>2236</v>
      </c>
      <c r="D12" s="111">
        <v>70</v>
      </c>
      <c r="E12" s="112">
        <f>SUM('[1]JUNTA 1'!E50,'[1]JUNTA 2'!E50,'[1]JUNTA 3'!G50,'[1]JUNTA 4'!E51,'[1]JUNTA 5'!G49,'[1]JUNTA 6'!G49,'[1]JUNTA 7'!G49,'[1]JUNTA 8'!G48,'[1]AREA COLECTIVA Y E.H'!E48)</f>
        <v>0</v>
      </c>
      <c r="F12" s="33">
        <v>75</v>
      </c>
      <c r="G12" s="33">
        <v>36</v>
      </c>
      <c r="H12" s="33">
        <v>5200</v>
      </c>
      <c r="I12" s="107">
        <v>50</v>
      </c>
      <c r="J12" s="113">
        <v>150</v>
      </c>
      <c r="K12" s="32">
        <v>55</v>
      </c>
    </row>
    <row r="13" spans="1:11" ht="14.4">
      <c r="A13" s="114" t="s">
        <v>73</v>
      </c>
      <c r="B13" s="109">
        <v>100</v>
      </c>
      <c r="C13" s="110">
        <v>958</v>
      </c>
      <c r="D13" s="111">
        <v>35</v>
      </c>
      <c r="E13" s="112">
        <f>SUM('[1]JUNTA 1'!E51,'[1]JUNTA 2'!E51,'[1]JUNTA 3'!G51,'[1]JUNTA 4'!E52,'[1]JUNTA 5'!G50,'[1]JUNTA 6'!G50,'[1]JUNTA 7'!G49,'[1]JUNTA 8'!G49,'[1]AREA COLECTIVA Y E.H'!E49)</f>
        <v>0</v>
      </c>
      <c r="F13" s="33">
        <v>55</v>
      </c>
      <c r="G13" s="33">
        <v>26</v>
      </c>
      <c r="H13" s="33">
        <v>5200</v>
      </c>
      <c r="I13" s="107">
        <v>25</v>
      </c>
      <c r="J13" s="113">
        <v>100</v>
      </c>
      <c r="K13" s="32">
        <v>35</v>
      </c>
    </row>
    <row r="14" spans="1:11" ht="14.4">
      <c r="A14" s="115" t="s">
        <v>74</v>
      </c>
      <c r="B14" s="116">
        <f t="shared" ref="B14:K14" si="0">SUM(B2:B13)</f>
        <v>1700</v>
      </c>
      <c r="C14" s="116">
        <f t="shared" si="0"/>
        <v>23000</v>
      </c>
      <c r="D14" s="117">
        <f t="shared" si="0"/>
        <v>770</v>
      </c>
      <c r="E14" s="116">
        <f t="shared" si="0"/>
        <v>0</v>
      </c>
      <c r="F14" s="116">
        <f t="shared" si="0"/>
        <v>840</v>
      </c>
      <c r="G14" s="116">
        <f t="shared" si="0"/>
        <v>400</v>
      </c>
      <c r="H14" s="116">
        <f t="shared" si="0"/>
        <v>61600</v>
      </c>
      <c r="I14" s="118">
        <f t="shared" si="0"/>
        <v>525</v>
      </c>
      <c r="J14" s="118">
        <f t="shared" si="0"/>
        <v>1650</v>
      </c>
      <c r="K14" s="116">
        <f t="shared" si="0"/>
        <v>620</v>
      </c>
    </row>
    <row r="15" spans="1:11" ht="14.4">
      <c r="H15" s="1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GLOBAL</vt:lpstr>
      <vt:lpstr>AREA COLECTIVA Y E.H</vt:lpstr>
      <vt:lpstr>JUNTA 8</vt:lpstr>
      <vt:lpstr>JUNTA 7</vt:lpstr>
      <vt:lpstr>JUNTA 6</vt:lpstr>
      <vt:lpstr>JUNTA 5</vt:lpstr>
      <vt:lpstr>JUNTA 4</vt:lpstr>
      <vt:lpstr>JUNTA 3</vt:lpstr>
      <vt:lpstr>JUNTA 2</vt:lpstr>
      <vt:lpstr>JUNTA 1</vt:lpstr>
      <vt:lpstr>PROGRAMACIÓN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PRESIDENCIA</dc:creator>
  <cp:lastModifiedBy>ROGA PACHECO REYES</cp:lastModifiedBy>
  <dcterms:created xsi:type="dcterms:W3CDTF">2025-02-11T16:17:15Z</dcterms:created>
  <dcterms:modified xsi:type="dcterms:W3CDTF">2026-05-26T22:14:33Z</dcterms:modified>
</cp:coreProperties>
</file>